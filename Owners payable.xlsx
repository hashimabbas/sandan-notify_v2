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notfiy_app\new\notify_app-main\notify_app-main\"/>
    </mc:Choice>
  </mc:AlternateContent>
  <xr:revisionPtr revIDLastSave="0" documentId="13_ncr:1_{142136EF-7886-4BD8-A950-9415463384F2}" xr6:coauthVersionLast="47" xr6:coauthVersionMax="47" xr10:uidLastSave="{00000000-0000-0000-0000-000000000000}"/>
  <bookViews>
    <workbookView xWindow="-120" yWindow="-120" windowWidth="29040" windowHeight="15840" xr2:uid="{DEDF2705-D0F9-4407-9ABD-E1D4DFAA3AE9}"/>
  </bookViews>
  <sheets>
    <sheet name="Payable" sheetId="1" r:id="rId1"/>
    <sheet name="Cr. Note" sheetId="2" r:id="rId2"/>
  </sheets>
  <externalReferences>
    <externalReference r:id="rId3"/>
  </externalReferences>
  <definedNames>
    <definedName name="_xlnm._FilterDatabase" localSheetId="0" hidden="1">Payable!$A$1:$M$137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5" i="1"/>
  <c r="N3" i="1"/>
  <c r="N4" i="1"/>
  <c r="N6" i="1"/>
  <c r="N7" i="1"/>
  <c r="N8" i="1"/>
  <c r="N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2" i="1"/>
  <c r="B28" i="2"/>
  <c r="H137" i="1" l="1"/>
  <c r="J137" i="1"/>
  <c r="K137" i="1"/>
  <c r="L137" i="1"/>
  <c r="F137" i="1"/>
  <c r="I136" i="1"/>
  <c r="M136" i="1" s="1"/>
  <c r="B136" i="1"/>
  <c r="I135" i="1"/>
  <c r="M135" i="1" s="1"/>
  <c r="B135" i="1"/>
  <c r="I134" i="1"/>
  <c r="M134" i="1" s="1"/>
  <c r="B134" i="1"/>
  <c r="I133" i="1"/>
  <c r="M133" i="1" s="1"/>
  <c r="B133" i="1"/>
  <c r="I132" i="1"/>
  <c r="M132" i="1" s="1"/>
  <c r="B132" i="1"/>
  <c r="I131" i="1"/>
  <c r="M131" i="1" s="1"/>
  <c r="B131" i="1"/>
  <c r="I130" i="1"/>
  <c r="M130" i="1" s="1"/>
  <c r="B130" i="1"/>
  <c r="I129" i="1"/>
  <c r="M129" i="1" s="1"/>
  <c r="B129" i="1"/>
  <c r="I128" i="1"/>
  <c r="M128" i="1" s="1"/>
  <c r="B128" i="1"/>
  <c r="I127" i="1"/>
  <c r="M127" i="1" s="1"/>
  <c r="B127" i="1"/>
  <c r="I126" i="1"/>
  <c r="M126" i="1" s="1"/>
  <c r="B126" i="1"/>
  <c r="I125" i="1"/>
  <c r="M125" i="1" s="1"/>
  <c r="B125" i="1"/>
  <c r="I124" i="1"/>
  <c r="M124" i="1" s="1"/>
  <c r="B124" i="1"/>
  <c r="I123" i="1"/>
  <c r="M123" i="1" s="1"/>
  <c r="B123" i="1"/>
  <c r="I122" i="1"/>
  <c r="M122" i="1" s="1"/>
  <c r="B122" i="1"/>
  <c r="I121" i="1"/>
  <c r="M121" i="1" s="1"/>
  <c r="B121" i="1"/>
  <c r="I120" i="1"/>
  <c r="M120" i="1" s="1"/>
  <c r="B120" i="1"/>
  <c r="I119" i="1"/>
  <c r="M119" i="1" s="1"/>
  <c r="B119" i="1"/>
  <c r="I118" i="1"/>
  <c r="M118" i="1" s="1"/>
  <c r="B118" i="1"/>
  <c r="I117" i="1"/>
  <c r="M117" i="1" s="1"/>
  <c r="B117" i="1"/>
  <c r="I116" i="1"/>
  <c r="M116" i="1" s="1"/>
  <c r="B116" i="1"/>
  <c r="I115" i="1"/>
  <c r="M115" i="1" s="1"/>
  <c r="B115" i="1"/>
  <c r="I114" i="1"/>
  <c r="M114" i="1" s="1"/>
  <c r="B114" i="1"/>
  <c r="I113" i="1"/>
  <c r="M113" i="1" s="1"/>
  <c r="B113" i="1"/>
  <c r="I112" i="1"/>
  <c r="M112" i="1" s="1"/>
  <c r="B112" i="1"/>
  <c r="I111" i="1"/>
  <c r="M111" i="1" s="1"/>
  <c r="B111" i="1"/>
  <c r="I110" i="1"/>
  <c r="M110" i="1" s="1"/>
  <c r="B110" i="1"/>
  <c r="I109" i="1"/>
  <c r="M109" i="1" s="1"/>
  <c r="B109" i="1"/>
  <c r="I108" i="1"/>
  <c r="M108" i="1" s="1"/>
  <c r="B108" i="1"/>
  <c r="I107" i="1"/>
  <c r="M107" i="1" s="1"/>
  <c r="B107" i="1"/>
  <c r="I106" i="1"/>
  <c r="M106" i="1" s="1"/>
  <c r="B106" i="1"/>
  <c r="I105" i="1"/>
  <c r="M105" i="1" s="1"/>
  <c r="B105" i="1"/>
  <c r="I104" i="1"/>
  <c r="M104" i="1" s="1"/>
  <c r="B104" i="1"/>
  <c r="I103" i="1"/>
  <c r="M103" i="1" s="1"/>
  <c r="B103" i="1"/>
  <c r="I102" i="1"/>
  <c r="M102" i="1" s="1"/>
  <c r="B102" i="1"/>
  <c r="I101" i="1"/>
  <c r="M101" i="1" s="1"/>
  <c r="B101" i="1"/>
  <c r="I100" i="1"/>
  <c r="M100" i="1" s="1"/>
  <c r="B100" i="1"/>
  <c r="I99" i="1"/>
  <c r="M99" i="1" s="1"/>
  <c r="B99" i="1"/>
  <c r="I98" i="1"/>
  <c r="M98" i="1" s="1"/>
  <c r="B98" i="1"/>
  <c r="I97" i="1"/>
  <c r="M97" i="1" s="1"/>
  <c r="B97" i="1"/>
  <c r="I96" i="1"/>
  <c r="M96" i="1" s="1"/>
  <c r="B96" i="1"/>
  <c r="I95" i="1"/>
  <c r="M95" i="1" s="1"/>
  <c r="B95" i="1"/>
  <c r="I94" i="1"/>
  <c r="M94" i="1" s="1"/>
  <c r="B94" i="1"/>
  <c r="I93" i="1"/>
  <c r="M93" i="1" s="1"/>
  <c r="B93" i="1"/>
  <c r="I92" i="1"/>
  <c r="M92" i="1" s="1"/>
  <c r="B92" i="1"/>
  <c r="I91" i="1"/>
  <c r="M91" i="1" s="1"/>
  <c r="B91" i="1"/>
  <c r="I90" i="1"/>
  <c r="M90" i="1" s="1"/>
  <c r="B90" i="1"/>
  <c r="I89" i="1"/>
  <c r="M89" i="1" s="1"/>
  <c r="B89" i="1"/>
  <c r="I88" i="1"/>
  <c r="M88" i="1" s="1"/>
  <c r="B88" i="1"/>
  <c r="I87" i="1"/>
  <c r="M87" i="1" s="1"/>
  <c r="B87" i="1"/>
  <c r="I86" i="1"/>
  <c r="M86" i="1" s="1"/>
  <c r="B86" i="1"/>
  <c r="I85" i="1"/>
  <c r="M85" i="1" s="1"/>
  <c r="B85" i="1"/>
  <c r="I84" i="1"/>
  <c r="M84" i="1" s="1"/>
  <c r="B84" i="1"/>
  <c r="I83" i="1"/>
  <c r="M83" i="1" s="1"/>
  <c r="B83" i="1"/>
  <c r="I82" i="1"/>
  <c r="M82" i="1" s="1"/>
  <c r="B82" i="1"/>
  <c r="I81" i="1"/>
  <c r="M81" i="1" s="1"/>
  <c r="B81" i="1"/>
  <c r="I80" i="1"/>
  <c r="M80" i="1" s="1"/>
  <c r="B80" i="1"/>
  <c r="I79" i="1"/>
  <c r="M79" i="1" s="1"/>
  <c r="B79" i="1"/>
  <c r="I78" i="1"/>
  <c r="M78" i="1" s="1"/>
  <c r="B78" i="1"/>
  <c r="I77" i="1"/>
  <c r="M77" i="1" s="1"/>
  <c r="B77" i="1"/>
  <c r="I76" i="1"/>
  <c r="M76" i="1" s="1"/>
  <c r="B76" i="1"/>
  <c r="I75" i="1"/>
  <c r="M75" i="1" s="1"/>
  <c r="B75" i="1"/>
  <c r="M74" i="1"/>
  <c r="B74" i="1"/>
  <c r="I73" i="1"/>
  <c r="M73" i="1" s="1"/>
  <c r="B73" i="1"/>
  <c r="I72" i="1"/>
  <c r="M72" i="1" s="1"/>
  <c r="B72" i="1"/>
  <c r="I71" i="1"/>
  <c r="M71" i="1" s="1"/>
  <c r="B71" i="1"/>
  <c r="I70" i="1"/>
  <c r="M70" i="1" s="1"/>
  <c r="B70" i="1"/>
  <c r="I69" i="1"/>
  <c r="M69" i="1" s="1"/>
  <c r="B69" i="1"/>
  <c r="I68" i="1"/>
  <c r="M68" i="1" s="1"/>
  <c r="B68" i="1"/>
  <c r="I67" i="1"/>
  <c r="M67" i="1" s="1"/>
  <c r="B67" i="1"/>
  <c r="I66" i="1"/>
  <c r="M66" i="1" s="1"/>
  <c r="B66" i="1"/>
  <c r="I65" i="1"/>
  <c r="M65" i="1" s="1"/>
  <c r="B65" i="1"/>
  <c r="I64" i="1"/>
  <c r="M64" i="1" s="1"/>
  <c r="B64" i="1"/>
  <c r="I63" i="1"/>
  <c r="M63" i="1" s="1"/>
  <c r="B63" i="1"/>
  <c r="I62" i="1"/>
  <c r="M62" i="1" s="1"/>
  <c r="B62" i="1"/>
  <c r="I61" i="1"/>
  <c r="M61" i="1" s="1"/>
  <c r="B61" i="1"/>
  <c r="I60" i="1"/>
  <c r="M60" i="1" s="1"/>
  <c r="B60" i="1"/>
  <c r="I59" i="1"/>
  <c r="M59" i="1" s="1"/>
  <c r="B59" i="1"/>
  <c r="I58" i="1"/>
  <c r="M58" i="1" s="1"/>
  <c r="B58" i="1"/>
  <c r="I57" i="1"/>
  <c r="M57" i="1" s="1"/>
  <c r="B57" i="1"/>
  <c r="I56" i="1"/>
  <c r="M56" i="1" s="1"/>
  <c r="B56" i="1"/>
  <c r="I55" i="1"/>
  <c r="M55" i="1" s="1"/>
  <c r="B55" i="1"/>
  <c r="I54" i="1"/>
  <c r="M54" i="1" s="1"/>
  <c r="B54" i="1"/>
  <c r="I53" i="1"/>
  <c r="M53" i="1" s="1"/>
  <c r="B53" i="1"/>
  <c r="I52" i="1"/>
  <c r="M52" i="1" s="1"/>
  <c r="B52" i="1"/>
  <c r="I51" i="1"/>
  <c r="M51" i="1" s="1"/>
  <c r="B51" i="1"/>
  <c r="I50" i="1"/>
  <c r="M50" i="1" s="1"/>
  <c r="B50" i="1"/>
  <c r="I49" i="1"/>
  <c r="M49" i="1" s="1"/>
  <c r="B49" i="1"/>
  <c r="I48" i="1"/>
  <c r="M48" i="1" s="1"/>
  <c r="B48" i="1"/>
  <c r="I47" i="1"/>
  <c r="M47" i="1" s="1"/>
  <c r="B47" i="1"/>
  <c r="I46" i="1"/>
  <c r="M46" i="1" s="1"/>
  <c r="B46" i="1"/>
  <c r="I45" i="1"/>
  <c r="M45" i="1" s="1"/>
  <c r="B45" i="1"/>
  <c r="I44" i="1"/>
  <c r="M44" i="1" s="1"/>
  <c r="B44" i="1"/>
  <c r="I43" i="1"/>
  <c r="M43" i="1" s="1"/>
  <c r="B43" i="1"/>
  <c r="I42" i="1"/>
  <c r="M42" i="1" s="1"/>
  <c r="B42" i="1"/>
  <c r="I41" i="1"/>
  <c r="M41" i="1" s="1"/>
  <c r="B41" i="1"/>
  <c r="I40" i="1"/>
  <c r="M40" i="1" s="1"/>
  <c r="B40" i="1"/>
  <c r="I39" i="1"/>
  <c r="M39" i="1" s="1"/>
  <c r="B39" i="1"/>
  <c r="I38" i="1"/>
  <c r="M38" i="1" s="1"/>
  <c r="B38" i="1"/>
  <c r="I37" i="1"/>
  <c r="M37" i="1" s="1"/>
  <c r="B37" i="1"/>
  <c r="I36" i="1"/>
  <c r="M36" i="1" s="1"/>
  <c r="B36" i="1"/>
  <c r="I35" i="1"/>
  <c r="M35" i="1" s="1"/>
  <c r="B35" i="1"/>
  <c r="I34" i="1"/>
  <c r="M34" i="1" s="1"/>
  <c r="B34" i="1"/>
  <c r="I33" i="1"/>
  <c r="M33" i="1" s="1"/>
  <c r="B33" i="1"/>
  <c r="I32" i="1"/>
  <c r="M32" i="1" s="1"/>
  <c r="I31" i="1"/>
  <c r="M31" i="1" s="1"/>
  <c r="B31" i="1"/>
  <c r="I30" i="1"/>
  <c r="M30" i="1" s="1"/>
  <c r="B30" i="1"/>
  <c r="I29" i="1"/>
  <c r="M29" i="1" s="1"/>
  <c r="B29" i="1"/>
  <c r="I28" i="1"/>
  <c r="M28" i="1" s="1"/>
  <c r="B28" i="1"/>
  <c r="I27" i="1"/>
  <c r="M27" i="1" s="1"/>
  <c r="B27" i="1"/>
  <c r="I26" i="1"/>
  <c r="M26" i="1" s="1"/>
  <c r="B26" i="1"/>
  <c r="I25" i="1"/>
  <c r="M25" i="1" s="1"/>
  <c r="B25" i="1"/>
  <c r="I24" i="1"/>
  <c r="M24" i="1" s="1"/>
  <c r="B24" i="1"/>
  <c r="I23" i="1"/>
  <c r="M23" i="1" s="1"/>
  <c r="B23" i="1"/>
  <c r="I22" i="1"/>
  <c r="M22" i="1" s="1"/>
  <c r="B22" i="1"/>
  <c r="I21" i="1"/>
  <c r="M21" i="1" s="1"/>
  <c r="B21" i="1"/>
  <c r="I20" i="1"/>
  <c r="M20" i="1" s="1"/>
  <c r="B20" i="1"/>
  <c r="I19" i="1"/>
  <c r="M19" i="1" s="1"/>
  <c r="B19" i="1"/>
  <c r="I18" i="1"/>
  <c r="M18" i="1" s="1"/>
  <c r="B18" i="1"/>
  <c r="I17" i="1"/>
  <c r="M17" i="1" s="1"/>
  <c r="B17" i="1"/>
  <c r="I16" i="1"/>
  <c r="B16" i="1"/>
  <c r="I15" i="1"/>
  <c r="M15" i="1" s="1"/>
  <c r="B15" i="1"/>
  <c r="I14" i="1"/>
  <c r="M14" i="1" s="1"/>
  <c r="B14" i="1"/>
  <c r="I13" i="1"/>
  <c r="M13" i="1" s="1"/>
  <c r="B13" i="1"/>
  <c r="I12" i="1"/>
  <c r="M12" i="1" s="1"/>
  <c r="B12" i="1"/>
  <c r="I11" i="1"/>
  <c r="M11" i="1" s="1"/>
  <c r="B11" i="1"/>
  <c r="I10" i="1"/>
  <c r="M10" i="1" s="1"/>
  <c r="B10" i="1"/>
  <c r="I9" i="1"/>
  <c r="M9" i="1" s="1"/>
  <c r="B9" i="1"/>
  <c r="I8" i="1"/>
  <c r="M8" i="1" s="1"/>
  <c r="B8" i="1"/>
  <c r="I7" i="1"/>
  <c r="M7" i="1" s="1"/>
  <c r="B7" i="1"/>
  <c r="I6" i="1"/>
  <c r="M6" i="1" s="1"/>
  <c r="B6" i="1"/>
  <c r="I5" i="1"/>
  <c r="M5" i="1" s="1"/>
  <c r="I4" i="1"/>
  <c r="M4" i="1" s="1"/>
  <c r="I3" i="1"/>
  <c r="M3" i="1" s="1"/>
  <c r="I2" i="1"/>
  <c r="M2" i="1" s="1"/>
  <c r="I137" i="1" l="1"/>
  <c r="M16" i="1"/>
  <c r="M137" i="1" l="1"/>
</calcChain>
</file>

<file path=xl/sharedStrings.xml><?xml version="1.0" encoding="utf-8"?>
<sst xmlns="http://schemas.openxmlformats.org/spreadsheetml/2006/main" count="450" uniqueCount="367">
  <si>
    <t>Unit</t>
  </si>
  <si>
    <t>Contact</t>
  </si>
  <si>
    <t>Property Management Fee</t>
  </si>
  <si>
    <t>01/F0143</t>
  </si>
  <si>
    <t>01/F0144</t>
  </si>
  <si>
    <t>01/F0145</t>
  </si>
  <si>
    <t>01/G0033</t>
  </si>
  <si>
    <t>01/G0035</t>
  </si>
  <si>
    <t>01/G0043</t>
  </si>
  <si>
    <t>01/G0044</t>
  </si>
  <si>
    <t>02/F0122</t>
  </si>
  <si>
    <t>02/F0151</t>
  </si>
  <si>
    <t>99225800</t>
  </si>
  <si>
    <t>02/G0006</t>
  </si>
  <si>
    <t>02/G0023</t>
  </si>
  <si>
    <t>92812812</t>
  </si>
  <si>
    <t>02/G0058</t>
  </si>
  <si>
    <t>06/F0103</t>
  </si>
  <si>
    <t>06/F0104</t>
  </si>
  <si>
    <t>06/G0047</t>
  </si>
  <si>
    <t>06/G0048</t>
  </si>
  <si>
    <t>06/G0054</t>
  </si>
  <si>
    <t>06/G0060</t>
  </si>
  <si>
    <t>06/G0061</t>
  </si>
  <si>
    <t>06/G0075</t>
  </si>
  <si>
    <t>06/G0092</t>
  </si>
  <si>
    <t>07/F0101</t>
  </si>
  <si>
    <t>07/F0115</t>
  </si>
  <si>
    <t>07/F0116</t>
  </si>
  <si>
    <t>07/F0126</t>
  </si>
  <si>
    <t>07/F0127</t>
  </si>
  <si>
    <t>07/F0129</t>
  </si>
  <si>
    <t>07/F0150</t>
  </si>
  <si>
    <t>07/F0152</t>
  </si>
  <si>
    <t>07/F0155</t>
  </si>
  <si>
    <t>07/F0165</t>
  </si>
  <si>
    <t>07/G0001</t>
  </si>
  <si>
    <t>07/G0005</t>
  </si>
  <si>
    <t>07/G0043</t>
  </si>
  <si>
    <t>99376376</t>
  </si>
  <si>
    <t>08/F0101</t>
  </si>
  <si>
    <t>99748113</t>
  </si>
  <si>
    <t>08/F0102</t>
  </si>
  <si>
    <t>92323220</t>
  </si>
  <si>
    <t>08/F0105</t>
  </si>
  <si>
    <t>99417432</t>
  </si>
  <si>
    <t>08/F0123</t>
  </si>
  <si>
    <t>97035307</t>
  </si>
  <si>
    <t>08/F0143</t>
  </si>
  <si>
    <t>97172321</t>
  </si>
  <si>
    <t>08/F0151</t>
  </si>
  <si>
    <t>99207277</t>
  </si>
  <si>
    <t>08/F0153</t>
  </si>
  <si>
    <t>08/F0156</t>
  </si>
  <si>
    <t>08/F0157</t>
  </si>
  <si>
    <t>08/F0179</t>
  </si>
  <si>
    <t>99314569</t>
  </si>
  <si>
    <t>08/F0181</t>
  </si>
  <si>
    <t>00000034</t>
  </si>
  <si>
    <t>08/G0011</t>
  </si>
  <si>
    <t>99378971</t>
  </si>
  <si>
    <t>08/G0012</t>
  </si>
  <si>
    <t>08/G0040</t>
  </si>
  <si>
    <t>95281722</t>
  </si>
  <si>
    <t>08/G0058</t>
  </si>
  <si>
    <t>08/G0070</t>
  </si>
  <si>
    <t>99222455</t>
  </si>
  <si>
    <t>08/G0081</t>
  </si>
  <si>
    <t>08/G0082</t>
  </si>
  <si>
    <t>09/G0015</t>
  </si>
  <si>
    <t>09/G0022</t>
  </si>
  <si>
    <t>95143340</t>
  </si>
  <si>
    <t>09/G0023</t>
  </si>
  <si>
    <t>09/G0024</t>
  </si>
  <si>
    <t>99248122</t>
  </si>
  <si>
    <t>09/G0025</t>
  </si>
  <si>
    <t>09/G0030</t>
  </si>
  <si>
    <t>96577444</t>
  </si>
  <si>
    <t>09/G0045</t>
  </si>
  <si>
    <t>99319318</t>
  </si>
  <si>
    <t>09/G0049</t>
  </si>
  <si>
    <t>99349092</t>
  </si>
  <si>
    <t>09/G0050</t>
  </si>
  <si>
    <t>10/F0118</t>
  </si>
  <si>
    <t>10/F0127</t>
  </si>
  <si>
    <t>99229025</t>
  </si>
  <si>
    <t>10/F0138</t>
  </si>
  <si>
    <t>99211415</t>
  </si>
  <si>
    <t>10/G0012</t>
  </si>
  <si>
    <t>96174130</t>
  </si>
  <si>
    <t>11/F0120</t>
  </si>
  <si>
    <t>92724424</t>
  </si>
  <si>
    <t>11/G0035</t>
  </si>
  <si>
    <t>93209775</t>
  </si>
  <si>
    <t>11/G0039</t>
  </si>
  <si>
    <t>994140656</t>
  </si>
  <si>
    <t>11/G0041</t>
  </si>
  <si>
    <t>99332080</t>
  </si>
  <si>
    <t>11/G0048</t>
  </si>
  <si>
    <t>12/F0121</t>
  </si>
  <si>
    <t>99880065</t>
  </si>
  <si>
    <t>12/F0134</t>
  </si>
  <si>
    <t>12/F0138</t>
  </si>
  <si>
    <t>99781561</t>
  </si>
  <si>
    <t>12/F0144</t>
  </si>
  <si>
    <t>12/G0015</t>
  </si>
  <si>
    <t>12/G0033</t>
  </si>
  <si>
    <t>12/G0036</t>
  </si>
  <si>
    <t>92776699</t>
  </si>
  <si>
    <t>12/G0037</t>
  </si>
  <si>
    <t>12/G0038</t>
  </si>
  <si>
    <t>12/G0039</t>
  </si>
  <si>
    <t>12/G0040</t>
  </si>
  <si>
    <t>12/G0041</t>
  </si>
  <si>
    <t>12/G0067</t>
  </si>
  <si>
    <t>97777716</t>
  </si>
  <si>
    <t>15/F0104</t>
  </si>
  <si>
    <t>99818145</t>
  </si>
  <si>
    <t>15/F0130</t>
  </si>
  <si>
    <t>99800031</t>
  </si>
  <si>
    <t>15/F0131</t>
  </si>
  <si>
    <t>95143635</t>
  </si>
  <si>
    <t>15/F0147</t>
  </si>
  <si>
    <t>95969070</t>
  </si>
  <si>
    <t>15/F0157</t>
  </si>
  <si>
    <t>97866760</t>
  </si>
  <si>
    <t>15/G0015</t>
  </si>
  <si>
    <t>15/G0028</t>
  </si>
  <si>
    <t>99241878</t>
  </si>
  <si>
    <t>15/G0034</t>
  </si>
  <si>
    <t>99344149</t>
  </si>
  <si>
    <t>15/G0050</t>
  </si>
  <si>
    <t>99807769</t>
  </si>
  <si>
    <t>16/F0108</t>
  </si>
  <si>
    <t>99411411</t>
  </si>
  <si>
    <t>16/F0115</t>
  </si>
  <si>
    <t>99557581</t>
  </si>
  <si>
    <t>16/F0146</t>
  </si>
  <si>
    <t>92326697</t>
  </si>
  <si>
    <t>16/G0008</t>
  </si>
  <si>
    <t>16/G0029</t>
  </si>
  <si>
    <t>99540020</t>
  </si>
  <si>
    <t>16/G0043</t>
  </si>
  <si>
    <t>16/G0048</t>
  </si>
  <si>
    <t>17/G0053</t>
  </si>
  <si>
    <t>99555333</t>
  </si>
  <si>
    <t>18/G0005</t>
  </si>
  <si>
    <t>99384440</t>
  </si>
  <si>
    <t>20/F0109</t>
  </si>
  <si>
    <t>92317787</t>
  </si>
  <si>
    <t>20/F0110</t>
  </si>
  <si>
    <t>99335259</t>
  </si>
  <si>
    <t>20/F0113</t>
  </si>
  <si>
    <t>99326050</t>
  </si>
  <si>
    <t>20/F0130</t>
  </si>
  <si>
    <t>95233099</t>
  </si>
  <si>
    <t>20/F0172</t>
  </si>
  <si>
    <t>92890005</t>
  </si>
  <si>
    <t>20/F0173</t>
  </si>
  <si>
    <t>20/F0175</t>
  </si>
  <si>
    <t>92177129</t>
  </si>
  <si>
    <t>20/G0020</t>
  </si>
  <si>
    <t>95191696</t>
  </si>
  <si>
    <t>20/G0022</t>
  </si>
  <si>
    <t>99297297</t>
  </si>
  <si>
    <t>20/G0065</t>
  </si>
  <si>
    <t>99836767</t>
  </si>
  <si>
    <t>20/G0084</t>
  </si>
  <si>
    <t>99202812</t>
  </si>
  <si>
    <t>20/G0100</t>
  </si>
  <si>
    <t>99264636</t>
  </si>
  <si>
    <t>20/G0105</t>
  </si>
  <si>
    <t>92726341</t>
  </si>
  <si>
    <t>27/F0114</t>
  </si>
  <si>
    <t>27/F0125</t>
  </si>
  <si>
    <t>00000032</t>
  </si>
  <si>
    <t>27/F0131</t>
  </si>
  <si>
    <t>27/F0136</t>
  </si>
  <si>
    <t>92165148</t>
  </si>
  <si>
    <t>27/F0138</t>
  </si>
  <si>
    <t>27/F0144</t>
  </si>
  <si>
    <t>92823300</t>
  </si>
  <si>
    <t>27/G0044</t>
  </si>
  <si>
    <t>28/F0103</t>
  </si>
  <si>
    <t>96511441</t>
  </si>
  <si>
    <t>28/F0121</t>
  </si>
  <si>
    <t>92314467</t>
  </si>
  <si>
    <t>28/F0133</t>
  </si>
  <si>
    <t>99337489</t>
  </si>
  <si>
    <t>28/F0134</t>
  </si>
  <si>
    <t>96617749</t>
  </si>
  <si>
    <t>28/F0142</t>
  </si>
  <si>
    <t>28/G0012</t>
  </si>
  <si>
    <t>99454122</t>
  </si>
  <si>
    <t>28/G0013</t>
  </si>
  <si>
    <t>29/F0111</t>
  </si>
  <si>
    <t>92448833</t>
  </si>
  <si>
    <t>29/F0142</t>
  </si>
  <si>
    <t>90634757</t>
  </si>
  <si>
    <t>29/F0146</t>
  </si>
  <si>
    <t>99366436</t>
  </si>
  <si>
    <t>29/F0147</t>
  </si>
  <si>
    <t>99321169</t>
  </si>
  <si>
    <t>29/G0023</t>
  </si>
  <si>
    <t>93200366</t>
  </si>
  <si>
    <t>29/G0024</t>
  </si>
  <si>
    <t>92846161</t>
  </si>
  <si>
    <t>29/G0039</t>
  </si>
  <si>
    <t>98895554</t>
  </si>
  <si>
    <t>Rent collected</t>
  </si>
  <si>
    <t>Community</t>
  </si>
  <si>
    <t>Owner ID No.</t>
  </si>
  <si>
    <t>Against month of</t>
  </si>
  <si>
    <t>Madinat Sandan LLC</t>
  </si>
  <si>
    <t>Halban, Nakhal, Oman</t>
  </si>
  <si>
    <t>Name of Owner</t>
  </si>
  <si>
    <t>Credit Note</t>
  </si>
  <si>
    <t>Deductions</t>
  </si>
  <si>
    <t>Maintenance</t>
  </si>
  <si>
    <t>Particular</t>
  </si>
  <si>
    <t>Mohammed</t>
  </si>
  <si>
    <t>Payable to Owner</t>
  </si>
  <si>
    <t>Contact: +968 90999980</t>
  </si>
  <si>
    <t>Thank you for your business!</t>
  </si>
  <si>
    <t>Amount (O.R)</t>
  </si>
  <si>
    <t xml:space="preserve">Community charge Carried forward </t>
  </si>
  <si>
    <t>Community Charge</t>
  </si>
  <si>
    <t>Details</t>
  </si>
  <si>
    <t>Leasing Commission</t>
  </si>
  <si>
    <t>2630994</t>
  </si>
  <si>
    <t>14832734</t>
  </si>
  <si>
    <t>5272047</t>
  </si>
  <si>
    <t>62099097</t>
  </si>
  <si>
    <t>7179244</t>
  </si>
  <si>
    <t>1192001</t>
  </si>
  <si>
    <t>03430217</t>
  </si>
  <si>
    <t>12313474</t>
  </si>
  <si>
    <t>6359898</t>
  </si>
  <si>
    <t>01682973</t>
  </si>
  <si>
    <t>03755317</t>
  </si>
  <si>
    <t>06752899</t>
  </si>
  <si>
    <t>2413949</t>
  </si>
  <si>
    <t>06883981</t>
  </si>
  <si>
    <t>01380191</t>
  </si>
  <si>
    <t>1408793</t>
  </si>
  <si>
    <t>1245015</t>
  </si>
  <si>
    <t>2047983</t>
  </si>
  <si>
    <t>10458083</t>
  </si>
  <si>
    <t>2086217</t>
  </si>
  <si>
    <t>4197548</t>
  </si>
  <si>
    <t>2126785</t>
  </si>
  <si>
    <t>5114761</t>
  </si>
  <si>
    <t>550335</t>
  </si>
  <si>
    <t>04658913</t>
  </si>
  <si>
    <t>3011944</t>
  </si>
  <si>
    <t>476459</t>
  </si>
  <si>
    <t>13915558</t>
  </si>
  <si>
    <t>11507913</t>
  </si>
  <si>
    <t>520192</t>
  </si>
  <si>
    <t>293141</t>
  </si>
  <si>
    <t>3101746</t>
  </si>
  <si>
    <t>1828195</t>
  </si>
  <si>
    <t>08349108</t>
  </si>
  <si>
    <t>09024853</t>
  </si>
  <si>
    <t>01116566</t>
  </si>
  <si>
    <t>639988</t>
  </si>
  <si>
    <t>01647992</t>
  </si>
  <si>
    <t>03261102</t>
  </si>
  <si>
    <t>12671016</t>
  </si>
  <si>
    <t>13146443</t>
  </si>
  <si>
    <t>03724191</t>
  </si>
  <si>
    <t>1826294</t>
  </si>
  <si>
    <t>13282859</t>
  </si>
  <si>
    <t>7250418</t>
  </si>
  <si>
    <t>3052258</t>
  </si>
  <si>
    <t>10219427</t>
  </si>
  <si>
    <t>708956</t>
  </si>
  <si>
    <t>14477758</t>
  </si>
  <si>
    <t>01860357</t>
  </si>
  <si>
    <t>1257871</t>
  </si>
  <si>
    <t>03421423</t>
  </si>
  <si>
    <t>9249412</t>
  </si>
  <si>
    <t>1486504</t>
  </si>
  <si>
    <t>452914</t>
  </si>
  <si>
    <t>12748756</t>
  </si>
  <si>
    <t>164738</t>
  </si>
  <si>
    <t>12468606</t>
  </si>
  <si>
    <t>11264984</t>
  </si>
  <si>
    <t>14797951</t>
  </si>
  <si>
    <t>015032</t>
  </si>
  <si>
    <t>2108484</t>
  </si>
  <si>
    <t>1647776</t>
  </si>
  <si>
    <t>1212869</t>
  </si>
  <si>
    <t>996814</t>
  </si>
  <si>
    <t>11558511</t>
  </si>
  <si>
    <t>13719479</t>
  </si>
  <si>
    <t>4157069</t>
  </si>
  <si>
    <t>08777831</t>
  </si>
  <si>
    <t>6044969</t>
  </si>
  <si>
    <t>3206528</t>
  </si>
  <si>
    <t>7021236</t>
  </si>
  <si>
    <t>3497084</t>
  </si>
  <si>
    <t>1398074</t>
  </si>
  <si>
    <t>08568616</t>
  </si>
  <si>
    <t>3872192</t>
  </si>
  <si>
    <t>11835012</t>
  </si>
  <si>
    <t>1915797</t>
  </si>
  <si>
    <t>61739335</t>
  </si>
  <si>
    <t>1052379</t>
  </si>
  <si>
    <t>03851878</t>
  </si>
  <si>
    <t>7998996</t>
  </si>
  <si>
    <t>14383657</t>
  </si>
  <si>
    <t>9634527</t>
  </si>
  <si>
    <t>7637083</t>
  </si>
  <si>
    <t>09903841</t>
  </si>
  <si>
    <t>07195382</t>
  </si>
  <si>
    <t>13484787</t>
  </si>
  <si>
    <t>1590365</t>
  </si>
  <si>
    <t>12906876</t>
  </si>
  <si>
    <t>07061083</t>
  </si>
  <si>
    <t>2098581</t>
  </si>
  <si>
    <t>6963133</t>
  </si>
  <si>
    <t>1665706</t>
  </si>
  <si>
    <t>01692699</t>
  </si>
  <si>
    <t>01052365</t>
  </si>
  <si>
    <t>3691862</t>
  </si>
  <si>
    <t>18055998</t>
  </si>
  <si>
    <t>Apr &amp; part. From May-24</t>
  </si>
  <si>
    <t>Dec-22 &amp; Jan-23</t>
  </si>
  <si>
    <t>Dec-24 &amp; Jan-25</t>
  </si>
  <si>
    <t>Aug-24 to Jan-25</t>
  </si>
  <si>
    <t>Aug &amp; part from Sep-24</t>
  </si>
  <si>
    <t>Apr-23 to Jan-24</t>
  </si>
  <si>
    <t>Jul &amp; Aug-24</t>
  </si>
  <si>
    <t>Jun &amp; Jul-24</t>
  </si>
  <si>
    <t>Apr to Jul-24</t>
  </si>
  <si>
    <t>Jun, Jul &amp; Aug-24</t>
  </si>
  <si>
    <t>May to Aug-24</t>
  </si>
  <si>
    <t>Jan to Mar-25</t>
  </si>
  <si>
    <t>May, Jun &amp; Jul-24</t>
  </si>
  <si>
    <t>Aug-24 to Jul-25</t>
  </si>
  <si>
    <t>Part of Apr-24</t>
  </si>
  <si>
    <t>Oct 24 to Mar 24</t>
  </si>
  <si>
    <t>Oct-23 &amp; Apr-24</t>
  </si>
  <si>
    <t>Part. of Mar-24</t>
  </si>
  <si>
    <t>Nov &amp; Dec-24</t>
  </si>
  <si>
    <t>Nov-23 to Aug-24</t>
  </si>
  <si>
    <t>Aug-23 to Jul-24</t>
  </si>
  <si>
    <t>Sep to Dec-24</t>
  </si>
  <si>
    <t>Aug &amp; Sep-24</t>
  </si>
  <si>
    <t>Community Charge up to 2023 End</t>
  </si>
  <si>
    <t>Municipality Fee</t>
  </si>
  <si>
    <t>Rent_collected</t>
  </si>
  <si>
    <t>Against_month_of</t>
  </si>
  <si>
    <t>Leasing_Commission</t>
  </si>
  <si>
    <t>Property_Management_Fee</t>
  </si>
  <si>
    <t>Municipality_Fee</t>
  </si>
  <si>
    <t>Payable_to_Owner</t>
  </si>
  <si>
    <t>Owner_ID_No</t>
  </si>
  <si>
    <t>Community_Charge_up_to_2023_End</t>
  </si>
  <si>
    <t>Community_charge_Carried_forward</t>
  </si>
  <si>
    <t>hashim abbas ali</t>
  </si>
  <si>
    <t>Name_of_Owner</t>
  </si>
  <si>
    <t>Mohammed Siyabi</t>
  </si>
  <si>
    <t>Mohammed Siyabi test</t>
  </si>
  <si>
    <t xml:space="preserve">waleed </t>
  </si>
  <si>
    <t>Alryan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</si>
</sst>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_(* #,##0.000_);_(* \(#,##0.000\);_(* &quot;-&quot;??_);_(@_)"/>
    <numFmt numFmtId="166" formatCode="_(* #,##0.000_);_(* \(#,##0.000\);_(* &quot;-&quot;???_);_(@_)"/>
    <numFmt numFmtId="167" formatCode="[$-409]mmm/yy;@"/>
    <numFmt numFmtId="172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rgb="FF002060"/>
      <name val="Aptos Narrow"/>
      <family val="2"/>
      <scheme val="minor"/>
    </font>
    <font>
      <sz val="14"/>
      <color rgb="FF00206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16" fontId="2" fillId="0" borderId="2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165" fontId="2" fillId="0" borderId="2" xfId="1" applyNumberFormat="1" applyFont="1" applyFill="1" applyBorder="1"/>
    <xf numFmtId="0" fontId="2" fillId="0" borderId="1" xfId="0" applyFont="1" applyBorder="1"/>
    <xf numFmtId="166" fontId="2" fillId="0" borderId="2" xfId="0" applyNumberFormat="1" applyFont="1" applyBorder="1"/>
    <xf numFmtId="165" fontId="2" fillId="0" borderId="1" xfId="1" applyNumberFormat="1" applyFont="1" applyFill="1" applyBorder="1"/>
    <xf numFmtId="165" fontId="2" fillId="0" borderId="2" xfId="1" applyNumberFormat="1" applyFont="1" applyBorder="1"/>
    <xf numFmtId="165" fontId="2" fillId="0" borderId="2" xfId="1" applyNumberFormat="1" applyFont="1" applyFill="1" applyBorder="1" applyAlignment="1">
      <alignment vertical="center"/>
    </xf>
    <xf numFmtId="164" fontId="2" fillId="0" borderId="2" xfId="0" applyNumberFormat="1" applyFont="1" applyBorder="1"/>
    <xf numFmtId="166" fontId="2" fillId="0" borderId="0" xfId="0" applyNumberFormat="1" applyFont="1"/>
    <xf numFmtId="0" fontId="5" fillId="0" borderId="0" xfId="0" applyFont="1"/>
    <xf numFmtId="0" fontId="0" fillId="0" borderId="0" xfId="0" applyAlignment="1">
      <alignment vertical="center"/>
    </xf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left" vertical="center"/>
    </xf>
    <xf numFmtId="0" fontId="4" fillId="2" borderId="3" xfId="0" applyFont="1" applyFill="1" applyBorder="1"/>
    <xf numFmtId="164" fontId="7" fillId="2" borderId="3" xfId="0" applyNumberFormat="1" applyFont="1" applyFill="1" applyBorder="1" applyAlignment="1">
      <alignment horizontal="left"/>
    </xf>
    <xf numFmtId="0" fontId="4" fillId="2" borderId="4" xfId="0" applyFont="1" applyFill="1" applyBorder="1"/>
    <xf numFmtId="17" fontId="7" fillId="2" borderId="4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left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left" vertical="center" wrapText="1"/>
      <protection locked="0"/>
    </xf>
    <xf numFmtId="164" fontId="2" fillId="0" borderId="2" xfId="0" applyNumberFormat="1" applyFont="1" applyBorder="1" applyAlignment="1">
      <alignment horizontal="center" vertical="center"/>
    </xf>
    <xf numFmtId="167" fontId="2" fillId="0" borderId="2" xfId="1" applyNumberFormat="1" applyFont="1" applyFill="1" applyBorder="1"/>
    <xf numFmtId="0" fontId="2" fillId="0" borderId="8" xfId="2" applyNumberFormat="1" applyFont="1" applyFill="1" applyBorder="1" applyAlignment="1" applyProtection="1">
      <alignment horizontal="center" vertical="center"/>
      <protection hidden="1"/>
    </xf>
  </cellXfs>
  <cellStyles count="3">
    <cellStyle name="Comma" xfId="1" builtinId="3"/>
    <cellStyle name="Comma 2" xfId="2" xr:uid="{21BA718C-D9D9-43DE-9077-5CFE147B4E7A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andan%20Lease%20Master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e Dept Report"/>
      <sheetName val="Receivable Master"/>
      <sheetName val="Sheet1"/>
      <sheetName val="Cancelled Leased "/>
      <sheetName val="Cancelled Confirmed "/>
      <sheetName val="All Mulkiya Transfers"/>
      <sheetName val="Owners List"/>
      <sheetName val="Operated Units "/>
      <sheetName val="Expired Lease "/>
      <sheetName val="Revised Offers"/>
      <sheetName val="Cancelled receivabl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01/F0101</v>
          </cell>
          <cell r="B2" t="str">
            <v>MAJAAN INDUSTRIES and ENTERPRISES LLC</v>
          </cell>
        </row>
        <row r="3">
          <cell r="A3" t="str">
            <v>01/F0102</v>
          </cell>
          <cell r="B3" t="str">
            <v>ZAYID ABDULLAH MOHAMMED AL NASSERI</v>
          </cell>
        </row>
        <row r="4">
          <cell r="A4" t="str">
            <v>01/F0103</v>
          </cell>
          <cell r="B4" t="str">
            <v>MAKASIB REAL ESTATE LLC</v>
          </cell>
        </row>
        <row r="5">
          <cell r="A5" t="str">
            <v>01/F0104</v>
          </cell>
          <cell r="B5" t="str">
            <v>ANWER SALIM ALI AL MAHRI</v>
          </cell>
        </row>
        <row r="6">
          <cell r="A6" t="str">
            <v>01/F0105</v>
          </cell>
          <cell r="B6" t="str">
            <v>MAKASIB REAL ESTATE LLC</v>
          </cell>
        </row>
        <row r="7">
          <cell r="A7" t="str">
            <v>01/F0106</v>
          </cell>
          <cell r="B7" t="str">
            <v>MOHAMMED SALIM KHANFOOR AL SHUAILI</v>
          </cell>
        </row>
        <row r="8">
          <cell r="A8" t="str">
            <v>01/F0107</v>
          </cell>
          <cell r="B8" t="str">
            <v>MAKASIB REAL ESTATE LLC</v>
          </cell>
        </row>
        <row r="9">
          <cell r="A9" t="str">
            <v>01/F0108</v>
          </cell>
          <cell r="B9" t="str">
            <v>MAKASIB REAL ESTATE LLC</v>
          </cell>
        </row>
        <row r="10">
          <cell r="A10" t="str">
            <v>01/F0109</v>
          </cell>
          <cell r="B10" t="str">
            <v>MAKASIB REAL ESTATE LLC</v>
          </cell>
        </row>
        <row r="11">
          <cell r="A11" t="str">
            <v>01/F0110</v>
          </cell>
          <cell r="B11" t="str">
            <v>MAKASIB REAL ESTATE LLC</v>
          </cell>
        </row>
        <row r="12">
          <cell r="A12" t="str">
            <v>01/F0111</v>
          </cell>
          <cell r="B12" t="str">
            <v>ISSHAQ YAQOOB NASSER AL NUUMANI</v>
          </cell>
        </row>
        <row r="13">
          <cell r="A13" t="str">
            <v>01/F0112</v>
          </cell>
          <cell r="B13" t="str">
            <v>AISHA SAMI J A AL MANNAI</v>
          </cell>
        </row>
        <row r="14">
          <cell r="A14" t="str">
            <v>01/F0113</v>
          </cell>
          <cell r="B14" t="str">
            <v>AMNA SAMI J AL MANNAI</v>
          </cell>
        </row>
        <row r="15">
          <cell r="A15" t="str">
            <v>01/F0114</v>
          </cell>
          <cell r="B15" t="str">
            <v>MAKASIB REAL ESTATE LLC</v>
          </cell>
        </row>
        <row r="16">
          <cell r="A16" t="str">
            <v>01/F0115</v>
          </cell>
          <cell r="B16" t="str">
            <v>MAKASIB REAL ESTATE LLC</v>
          </cell>
        </row>
        <row r="17">
          <cell r="A17" t="str">
            <v>01/F0116</v>
          </cell>
          <cell r="B17" t="str">
            <v>MAKASIB REAL ESTATE LLC</v>
          </cell>
        </row>
        <row r="18">
          <cell r="A18" t="str">
            <v>01/F0117</v>
          </cell>
          <cell r="B18" t="str">
            <v>MAKASIB REAL ESTATE LLC</v>
          </cell>
        </row>
        <row r="19">
          <cell r="A19" t="str">
            <v>01/F0118</v>
          </cell>
          <cell r="B19" t="str">
            <v>LUBAN DEVELOPMENT &amp; INVESTMENT LLC</v>
          </cell>
        </row>
        <row r="20">
          <cell r="A20" t="str">
            <v>01/F0119</v>
          </cell>
          <cell r="B20" t="str">
            <v>MAKASIB REAL ESTATE LLC</v>
          </cell>
        </row>
        <row r="21">
          <cell r="A21" t="str">
            <v>01/F0120</v>
          </cell>
          <cell r="B21" t="str">
            <v>MAKASIB REAL ESTATE LLC</v>
          </cell>
        </row>
        <row r="22">
          <cell r="A22" t="str">
            <v>01/F0121</v>
          </cell>
          <cell r="B22" t="str">
            <v>AHMED HAMED SULAIMAN AL KHALILI</v>
          </cell>
        </row>
        <row r="23">
          <cell r="A23" t="str">
            <v>01/F0122</v>
          </cell>
          <cell r="B23" t="str">
            <v>AHMED HAMED SULAIMAN AL KHALILI</v>
          </cell>
        </row>
        <row r="24">
          <cell r="A24" t="str">
            <v>01/F0123</v>
          </cell>
          <cell r="B24" t="str">
            <v>EMAN FALIH RAJA AL DHUFIRI</v>
          </cell>
        </row>
        <row r="25">
          <cell r="A25" t="str">
            <v>01/F0124</v>
          </cell>
          <cell r="B25" t="str">
            <v>LUBAN DEVELOPMENT &amp; INVESTMENT LLC</v>
          </cell>
        </row>
        <row r="26">
          <cell r="A26" t="str">
            <v>01/F0125</v>
          </cell>
          <cell r="B26" t="str">
            <v>LUBAN DEVELOPMENT &amp; INVESTMENT LLC</v>
          </cell>
        </row>
        <row r="27">
          <cell r="A27" t="str">
            <v>01/F0126</v>
          </cell>
          <cell r="B27" t="str">
            <v>MASHAL FALIH RAJA AL DHUFIRI</v>
          </cell>
        </row>
        <row r="28">
          <cell r="A28" t="str">
            <v>01/F0127</v>
          </cell>
          <cell r="B28" t="str">
            <v>LUBAN DEVELOPMENT &amp; INVESTMENT LLC</v>
          </cell>
        </row>
        <row r="29">
          <cell r="A29" t="str">
            <v>01/F0128</v>
          </cell>
          <cell r="B29" t="str">
            <v>MAKASIB REAL ESTATE LLC</v>
          </cell>
        </row>
        <row r="30">
          <cell r="A30" t="str">
            <v>01/F0129</v>
          </cell>
          <cell r="B30" t="str">
            <v>MAKASIB REAL ESTATE LLC</v>
          </cell>
        </row>
        <row r="31">
          <cell r="A31" t="str">
            <v>01/F0130</v>
          </cell>
          <cell r="B31" t="str">
            <v>AHMED SALIM ABDULLAH AL QARWASHI</v>
          </cell>
        </row>
        <row r="32">
          <cell r="A32" t="str">
            <v>01/F0131</v>
          </cell>
          <cell r="B32" t="str">
            <v>LUBAN DEVELOPMENT &amp; INVESTMENT LLC</v>
          </cell>
        </row>
        <row r="33">
          <cell r="A33" t="str">
            <v>01/F0132</v>
          </cell>
          <cell r="B33" t="str">
            <v>HASAN SHUMBEH MOHAMED AL RAISI</v>
          </cell>
        </row>
        <row r="34">
          <cell r="A34" t="str">
            <v>01/F0133</v>
          </cell>
          <cell r="B34" t="str">
            <v>KHALID HEDEB SALIM AL HASHIMI</v>
          </cell>
        </row>
        <row r="35">
          <cell r="A35" t="str">
            <v>01/F0134</v>
          </cell>
          <cell r="B35" t="str">
            <v>OMAR BADER SAID AL KIYUMI</v>
          </cell>
        </row>
        <row r="36">
          <cell r="A36" t="str">
            <v>01/F0135</v>
          </cell>
          <cell r="B36" t="str">
            <v>OMAR BADER SAID AL KIYUMI</v>
          </cell>
        </row>
        <row r="37">
          <cell r="A37" t="str">
            <v>01/F0136</v>
          </cell>
          <cell r="B37" t="str">
            <v>OMAR BADER SAID AL KIYUMI</v>
          </cell>
        </row>
        <row r="38">
          <cell r="A38" t="str">
            <v>01/F0137</v>
          </cell>
          <cell r="B38" t="str">
            <v>SAID MOHAMMED ALHARTHI</v>
          </cell>
        </row>
        <row r="39">
          <cell r="A39" t="str">
            <v>01/F0138</v>
          </cell>
          <cell r="B39" t="str">
            <v>LUBAN DEVELOPMENT &amp; INVESTMENT LLC</v>
          </cell>
        </row>
        <row r="40">
          <cell r="A40" t="str">
            <v>01/F0139</v>
          </cell>
          <cell r="B40" t="str">
            <v>RASHID HAMED ALI JAWAD AL GHAILANI</v>
          </cell>
        </row>
        <row r="41">
          <cell r="A41" t="str">
            <v>01/F0140</v>
          </cell>
          <cell r="B41" t="str">
            <v>ABDULLAH DAWOOD ABDULLAH AL ZADJALI</v>
          </cell>
        </row>
        <row r="42">
          <cell r="A42" t="str">
            <v>01/F0141</v>
          </cell>
          <cell r="B42" t="str">
            <v>MAKASIB REAL ESTATE LLC</v>
          </cell>
        </row>
        <row r="43">
          <cell r="A43" t="str">
            <v>01/F0142</v>
          </cell>
          <cell r="B43" t="str">
            <v>MAKASIB REAL ESTATE LLC</v>
          </cell>
        </row>
        <row r="44">
          <cell r="A44" t="str">
            <v>01/F0143</v>
          </cell>
          <cell r="B44" t="str">
            <v>JOKHA HAMED MOHAMED AL RASHDI</v>
          </cell>
        </row>
        <row r="45">
          <cell r="A45" t="str">
            <v>01/F0144</v>
          </cell>
          <cell r="B45" t="str">
            <v>IBRAHIM SAID NASSER AL RASHDI</v>
          </cell>
        </row>
        <row r="46">
          <cell r="A46" t="str">
            <v>01/F0145</v>
          </cell>
          <cell r="B46" t="str">
            <v>AHMED SAID NASSER AL RASHDI</v>
          </cell>
        </row>
        <row r="47">
          <cell r="A47" t="str">
            <v>01/F0146</v>
          </cell>
          <cell r="B47" t="str">
            <v>LUBAN DEVELOPMENT &amp; INVESTMENT LLC</v>
          </cell>
        </row>
        <row r="48">
          <cell r="A48" t="str">
            <v>01/F0147</v>
          </cell>
          <cell r="B48" t="str">
            <v>LUBAN DEVELOPMENT &amp; INVESTMENT LLC</v>
          </cell>
        </row>
        <row r="49">
          <cell r="A49" t="str">
            <v>01/F0148</v>
          </cell>
          <cell r="B49" t="str">
            <v>Nakhal Ahlia Investment Company SOAC</v>
          </cell>
        </row>
        <row r="50">
          <cell r="A50" t="str">
            <v>01/F0149</v>
          </cell>
          <cell r="B50" t="str">
            <v>MAKASIB REAL ESTATE LLC</v>
          </cell>
        </row>
        <row r="51">
          <cell r="A51" t="str">
            <v>01/F0150</v>
          </cell>
          <cell r="B51" t="str">
            <v>KHALIL IBRAHIM MOHAMED AL BALUSHI</v>
          </cell>
        </row>
        <row r="52">
          <cell r="A52" t="str">
            <v>01/F0151</v>
          </cell>
          <cell r="B52" t="str">
            <v>Nakhal Ahlia Investment Company SOAC</v>
          </cell>
        </row>
        <row r="53">
          <cell r="A53" t="str">
            <v>01/F0152</v>
          </cell>
          <cell r="B53" t="str">
            <v>LUBAN DEVELOPMENT &amp; INVESTMENT LLC</v>
          </cell>
        </row>
        <row r="54">
          <cell r="A54" t="str">
            <v>01/F0153</v>
          </cell>
          <cell r="B54" t="str">
            <v>SAID HAMED SUWAID AL HARRASI</v>
          </cell>
        </row>
        <row r="55">
          <cell r="A55" t="str">
            <v>01/F0154</v>
          </cell>
          <cell r="B55" t="str">
            <v>LUBAN DEVELOPMENT &amp; INVESTMENT LLC</v>
          </cell>
        </row>
        <row r="56">
          <cell r="A56" t="str">
            <v>01/G0001</v>
          </cell>
          <cell r="B56" t="str">
            <v>KHALAF AL DHEEB HUMAID AL OFI</v>
          </cell>
        </row>
        <row r="57">
          <cell r="A57" t="str">
            <v>01/G0002</v>
          </cell>
          <cell r="B57" t="str">
            <v>KHALAF AL DHEEB HUMAID AL OFI</v>
          </cell>
        </row>
        <row r="58">
          <cell r="A58" t="str">
            <v>01/G0003</v>
          </cell>
          <cell r="B58" t="str">
            <v>ANWER SALIM ALI AL MAHRI</v>
          </cell>
        </row>
        <row r="59">
          <cell r="A59" t="str">
            <v>01/G0004</v>
          </cell>
          <cell r="B59" t="str">
            <v>ADIL AHMED AWADH AL NAJJAR</v>
          </cell>
        </row>
        <row r="60">
          <cell r="A60" t="str">
            <v>01/G0005</v>
          </cell>
          <cell r="B60" t="str">
            <v>AHMED ALI ABDULLAH AL NAJJAR</v>
          </cell>
        </row>
        <row r="61">
          <cell r="A61" t="str">
            <v>01/G0006</v>
          </cell>
          <cell r="B61" t="str">
            <v>MOOSA SALIM JABIR AL AZRI</v>
          </cell>
        </row>
        <row r="62">
          <cell r="A62" t="str">
            <v>01/G0007</v>
          </cell>
          <cell r="B62" t="str">
            <v>AMAN REIT</v>
          </cell>
        </row>
        <row r="63">
          <cell r="A63" t="str">
            <v>01/G0008</v>
          </cell>
          <cell r="B63" t="str">
            <v>AMAN REIT</v>
          </cell>
        </row>
        <row r="64">
          <cell r="A64" t="str">
            <v>01/G0009</v>
          </cell>
          <cell r="B64" t="str">
            <v>SAID SALIM ABDULLAH AL AUFI</v>
          </cell>
        </row>
        <row r="65">
          <cell r="A65" t="str">
            <v>01/G0010</v>
          </cell>
          <cell r="B65" t="str">
            <v>HAMOOD NASAR HAMOOD AL KINDI</v>
          </cell>
        </row>
        <row r="66">
          <cell r="A66" t="str">
            <v>01/G0011</v>
          </cell>
          <cell r="B66" t="str">
            <v>IHSAN SULAIMAN SAIF AL ABRI</v>
          </cell>
        </row>
        <row r="67">
          <cell r="A67" t="str">
            <v>01/G0012</v>
          </cell>
          <cell r="B67" t="str">
            <v>SIYABI BROTHERS</v>
          </cell>
        </row>
        <row r="68">
          <cell r="A68" t="str">
            <v>01/G0013</v>
          </cell>
          <cell r="B68" t="str">
            <v>SIYABI BROTHERS</v>
          </cell>
        </row>
        <row r="69">
          <cell r="A69" t="str">
            <v>01/G0014</v>
          </cell>
          <cell r="B69" t="str">
            <v>MOHAMMED ABDULLAH HAMOOD AL TUBI</v>
          </cell>
        </row>
        <row r="70">
          <cell r="A70" t="str">
            <v>01/G0015</v>
          </cell>
          <cell r="B70" t="str">
            <v>MOHAMMED  ABDULLAH HAMOOD AL TUBI</v>
          </cell>
        </row>
        <row r="71">
          <cell r="A71" t="str">
            <v>01/G0016</v>
          </cell>
          <cell r="B71" t="str">
            <v>IBRAHIM SALIM YAQOOB AL FAHDI</v>
          </cell>
        </row>
        <row r="72">
          <cell r="A72" t="str">
            <v>01/G0017</v>
          </cell>
          <cell r="B72" t="str">
            <v>AHMED HILAL AHMED AL GHALABI</v>
          </cell>
        </row>
        <row r="73">
          <cell r="A73" t="str">
            <v>01/G0018</v>
          </cell>
          <cell r="B73" t="str">
            <v>RAMI MAJEED MOOSA AL BULUSHI</v>
          </cell>
        </row>
        <row r="74">
          <cell r="A74" t="str">
            <v>01/G0019</v>
          </cell>
          <cell r="B74" t="str">
            <v>JALAL IBRAHIM SAIF AL AMRI</v>
          </cell>
        </row>
        <row r="75">
          <cell r="A75" t="str">
            <v>01/G0020</v>
          </cell>
          <cell r="B75" t="str">
            <v>JALAL IBRAHIM SAIF AL AMRI</v>
          </cell>
        </row>
        <row r="76">
          <cell r="A76" t="str">
            <v>01/G0021</v>
          </cell>
          <cell r="B76" t="str">
            <v>SIYABI BROTHERS</v>
          </cell>
        </row>
        <row r="77">
          <cell r="A77" t="str">
            <v>01/G0022</v>
          </cell>
          <cell r="B77" t="str">
            <v>SIYABI BROTHERS</v>
          </cell>
        </row>
        <row r="78">
          <cell r="A78" t="str">
            <v>01/G0023</v>
          </cell>
          <cell r="B78" t="str">
            <v>AL MAHA MOTOR OASIS SPC</v>
          </cell>
        </row>
        <row r="79">
          <cell r="A79" t="str">
            <v>01/G0024</v>
          </cell>
          <cell r="B79" t="str">
            <v>AMAN REIT</v>
          </cell>
        </row>
        <row r="80">
          <cell r="A80" t="str">
            <v>01/G0025</v>
          </cell>
          <cell r="B80" t="str">
            <v>AHMED HAMED SULAIMAN AL KHALILI</v>
          </cell>
        </row>
        <row r="81">
          <cell r="A81" t="str">
            <v>01/G0026</v>
          </cell>
          <cell r="B81" t="str">
            <v>AHMED HAMED SULAIMAN AL KHALILI</v>
          </cell>
        </row>
        <row r="82">
          <cell r="A82" t="str">
            <v>01/G0027</v>
          </cell>
          <cell r="B82" t="str">
            <v>AHMED HAMED SULAIMAN AL KHALILI</v>
          </cell>
        </row>
        <row r="83">
          <cell r="A83" t="str">
            <v>01/G0028</v>
          </cell>
          <cell r="B83" t="str">
            <v>HAMED HAMOOD SALIM AL SIYABI</v>
          </cell>
        </row>
        <row r="84">
          <cell r="A84" t="str">
            <v>01/G0029</v>
          </cell>
          <cell r="B84" t="str">
            <v>AMAN REIT</v>
          </cell>
        </row>
        <row r="85">
          <cell r="A85" t="str">
            <v>01/G0030</v>
          </cell>
          <cell r="B85" t="str">
            <v>AMAN REIT</v>
          </cell>
        </row>
        <row r="86">
          <cell r="A86" t="str">
            <v>01/G0031</v>
          </cell>
          <cell r="B86" t="str">
            <v>AL MAHANAD SAIF SAID AL MAMARI</v>
          </cell>
        </row>
        <row r="87">
          <cell r="A87" t="str">
            <v>01/G0032</v>
          </cell>
          <cell r="B87" t="str">
            <v>AMMAR SAIF SAID AL MAAMARI</v>
          </cell>
        </row>
        <row r="88">
          <cell r="A88" t="str">
            <v>01/G0033</v>
          </cell>
          <cell r="B88" t="str">
            <v>AHMED ABDULLAH NABHAN AL AMRI</v>
          </cell>
        </row>
        <row r="89">
          <cell r="A89" t="str">
            <v>01/G0034</v>
          </cell>
          <cell r="B89" t="str">
            <v>MOHAMMED ALI MOHAMMED AL LAMKI</v>
          </cell>
        </row>
        <row r="90">
          <cell r="A90" t="str">
            <v>01/G0035</v>
          </cell>
          <cell r="B90" t="str">
            <v>ALI AL ABD HAMOOD AL SHIBANI</v>
          </cell>
        </row>
        <row r="91">
          <cell r="A91" t="str">
            <v>01/G0036</v>
          </cell>
          <cell r="B91" t="str">
            <v>SAID KHAMIS SAIF AL ZEIDI</v>
          </cell>
        </row>
        <row r="92">
          <cell r="A92" t="str">
            <v>01/G0037</v>
          </cell>
          <cell r="B92" t="str">
            <v>SULTAN YAHYA ABDALLAH AL RASHDI</v>
          </cell>
        </row>
        <row r="93">
          <cell r="A93" t="str">
            <v>01/G0038</v>
          </cell>
          <cell r="B93" t="str">
            <v>SULTAN YAHYA ABDALLAH AL RASHDI</v>
          </cell>
        </row>
        <row r="94">
          <cell r="A94" t="str">
            <v>01/G0039</v>
          </cell>
          <cell r="B94" t="str">
            <v>AMAN REIT</v>
          </cell>
        </row>
        <row r="95">
          <cell r="A95" t="str">
            <v>01/G0040</v>
          </cell>
          <cell r="B95" t="str">
            <v>SULAIMAN ABDULLAH SALIM AL RASHDI</v>
          </cell>
        </row>
        <row r="96">
          <cell r="A96" t="str">
            <v>01/G0041</v>
          </cell>
          <cell r="B96" t="str">
            <v>HAMOOD KHALFAN SAID AL BUSAIDI</v>
          </cell>
        </row>
        <row r="97">
          <cell r="A97" t="str">
            <v>01/G0042</v>
          </cell>
          <cell r="B97" t="str">
            <v>AMAN REIT</v>
          </cell>
        </row>
        <row r="98">
          <cell r="A98" t="str">
            <v>01/G0043</v>
          </cell>
          <cell r="B98" t="str">
            <v>RASHID FUADMOHAMED AL SUKAITI</v>
          </cell>
        </row>
        <row r="99">
          <cell r="A99" t="str">
            <v>01/G0044</v>
          </cell>
          <cell r="B99" t="str">
            <v>RASHID FUADMOHAMED AL SUKAITI</v>
          </cell>
        </row>
        <row r="100">
          <cell r="A100" t="str">
            <v>01/G0045</v>
          </cell>
          <cell r="B100" t="str">
            <v>YAHYA YAQOUB AHMED AL KIYUMI</v>
          </cell>
        </row>
        <row r="101">
          <cell r="A101" t="str">
            <v>01/G0046</v>
          </cell>
          <cell r="B101" t="str">
            <v>AHMED NASSER MANSOOR AL RAHBI</v>
          </cell>
        </row>
        <row r="102">
          <cell r="A102" t="str">
            <v>01/G0047</v>
          </cell>
          <cell r="B102" t="str">
            <v>AMAL ABDULLAH ZAHIR AL RASHDI</v>
          </cell>
        </row>
        <row r="103">
          <cell r="A103" t="str">
            <v>01/G0048</v>
          </cell>
          <cell r="B103" t="str">
            <v>FAIZA SAID ABDULLA AL RASHDI</v>
          </cell>
        </row>
        <row r="104">
          <cell r="A104" t="str">
            <v>01/G0049</v>
          </cell>
          <cell r="B104" t="str">
            <v>SULAIMAN ABDULLAH SALIM AL RASHDI</v>
          </cell>
        </row>
        <row r="105">
          <cell r="A105" t="str">
            <v>01/G0050</v>
          </cell>
          <cell r="B105" t="str">
            <v>MAHMOOD SAIF AL MASHARI</v>
          </cell>
        </row>
        <row r="106">
          <cell r="A106" t="str">
            <v>01/G0051</v>
          </cell>
          <cell r="B106" t="str">
            <v>ABDUL NASSER ABDULLAH NASSER AL NADABI</v>
          </cell>
        </row>
        <row r="107">
          <cell r="A107" t="str">
            <v>01/G0052</v>
          </cell>
          <cell r="B107" t="str">
            <v>ARWA ABDULLAH SALIM AL HARTHI</v>
          </cell>
        </row>
        <row r="108">
          <cell r="A108" t="str">
            <v>01/G0053</v>
          </cell>
          <cell r="B108" t="str">
            <v>SAID SALIM MOHAMMED JUMA AL JAWI AL ARAIMI</v>
          </cell>
        </row>
        <row r="109">
          <cell r="A109" t="str">
            <v>01/G0054</v>
          </cell>
          <cell r="B109" t="str">
            <v>SAID SALIM MOHAMMED JUMA AL JAWI AL ARAIMI</v>
          </cell>
        </row>
        <row r="110">
          <cell r="A110" t="str">
            <v>01/G0055</v>
          </cell>
          <cell r="B110" t="str">
            <v>OMAR BADER SAID AL KIYUMI</v>
          </cell>
        </row>
        <row r="111">
          <cell r="A111" t="str">
            <v>01/G0056</v>
          </cell>
          <cell r="B111" t="str">
            <v>HAMZA HILAL ABDULLAH AL RASHDI</v>
          </cell>
        </row>
        <row r="112">
          <cell r="A112" t="str">
            <v>01/G0057</v>
          </cell>
          <cell r="B112" t="str">
            <v>KHALIL IBRAHIM MOHAMED AL BALUSHI</v>
          </cell>
        </row>
        <row r="113">
          <cell r="A113" t="str">
            <v>01/G0058</v>
          </cell>
          <cell r="B113" t="str">
            <v>AMAN REIT</v>
          </cell>
        </row>
        <row r="114">
          <cell r="A114" t="str">
            <v>02/F0101</v>
          </cell>
          <cell r="B114" t="str">
            <v>MOHAMED SAID NASSER AL RASHDI</v>
          </cell>
        </row>
        <row r="115">
          <cell r="A115" t="str">
            <v>02/F0102</v>
          </cell>
          <cell r="B115" t="str">
            <v>MAKASIB REAL ESTATE LLC</v>
          </cell>
        </row>
        <row r="116">
          <cell r="A116" t="str">
            <v>02/F0103</v>
          </cell>
          <cell r="B116" t="str">
            <v>MAKASIB REAL ESTATE LLC</v>
          </cell>
        </row>
        <row r="117">
          <cell r="A117" t="str">
            <v>02/F0104</v>
          </cell>
          <cell r="B117" t="str">
            <v>MAKASIB REAL ESTATE LLC</v>
          </cell>
        </row>
        <row r="118">
          <cell r="A118" t="str">
            <v>02/F0105</v>
          </cell>
          <cell r="B118" t="str">
            <v>MAKASIB REAL ESTATE LLC</v>
          </cell>
        </row>
        <row r="119">
          <cell r="A119" t="str">
            <v>02/F0106</v>
          </cell>
          <cell r="B119" t="str">
            <v>LUBAN DEVELOPMENT &amp; INVESTMENT LLC</v>
          </cell>
        </row>
        <row r="120">
          <cell r="A120" t="str">
            <v>02/F0107</v>
          </cell>
          <cell r="B120" t="str">
            <v>MAKASIB REAL ESTATE LLC</v>
          </cell>
        </row>
        <row r="121">
          <cell r="A121" t="str">
            <v>02/F0108</v>
          </cell>
          <cell r="B121" t="str">
            <v>MAKASIB REAL ESTATE LLC</v>
          </cell>
        </row>
        <row r="122">
          <cell r="A122" t="str">
            <v>02/F0109</v>
          </cell>
          <cell r="B122" t="str">
            <v>MAKASIB REAL ESTATE LLC</v>
          </cell>
        </row>
        <row r="123">
          <cell r="A123" t="str">
            <v>02/F0110</v>
          </cell>
          <cell r="B123" t="str">
            <v>MAKASIB REAL ESTATE LLC</v>
          </cell>
        </row>
        <row r="124">
          <cell r="A124" t="str">
            <v>02/F0111</v>
          </cell>
          <cell r="B124" t="str">
            <v>MAKASIB REAL ESTATE LLC</v>
          </cell>
        </row>
        <row r="125">
          <cell r="A125" t="str">
            <v>02/F0112</v>
          </cell>
          <cell r="B125" t="str">
            <v>BASIM MOHAMED ABDULLAH AL LAWATI</v>
          </cell>
        </row>
        <row r="126">
          <cell r="A126" t="str">
            <v>02/F0113</v>
          </cell>
          <cell r="B126" t="str">
            <v>BASIM MOHAMED ABDULLAH AL LAWATI</v>
          </cell>
        </row>
        <row r="127">
          <cell r="A127" t="str">
            <v>02/F0114</v>
          </cell>
          <cell r="B127" t="str">
            <v>MAKASIB REAL ESTATE LLC</v>
          </cell>
        </row>
        <row r="128">
          <cell r="A128" t="str">
            <v>02/F0115</v>
          </cell>
          <cell r="B128" t="str">
            <v>SALAM AHMED SULAIMAN AL KINDI</v>
          </cell>
        </row>
        <row r="129">
          <cell r="A129" t="str">
            <v>02/F0116</v>
          </cell>
          <cell r="B129" t="str">
            <v>MAKASIB REAL ESTATE LLC</v>
          </cell>
        </row>
        <row r="130">
          <cell r="A130" t="str">
            <v>02/F0117</v>
          </cell>
          <cell r="B130" t="str">
            <v>SULAIMAN SAID HAMED AL BARASHDI</v>
          </cell>
        </row>
        <row r="131">
          <cell r="A131" t="str">
            <v>02/F0118</v>
          </cell>
          <cell r="B131" t="str">
            <v>LUBAN DEVELOPMENT &amp; INVESTMENT LLC</v>
          </cell>
        </row>
        <row r="132">
          <cell r="A132" t="str">
            <v>02/F0119</v>
          </cell>
          <cell r="B132" t="str">
            <v>MAKASIB REAL ESTATE LLC</v>
          </cell>
        </row>
        <row r="133">
          <cell r="A133" t="str">
            <v>02/F0120</v>
          </cell>
          <cell r="B133" t="str">
            <v>MAKASIB REAL ESTATE LLC</v>
          </cell>
        </row>
        <row r="134">
          <cell r="A134" t="str">
            <v>02/F0121</v>
          </cell>
          <cell r="B134" t="str">
            <v>MAKASIB REAL ESTATE LLC</v>
          </cell>
        </row>
        <row r="135">
          <cell r="A135" t="str">
            <v>02/F0122</v>
          </cell>
          <cell r="B135" t="str">
            <v>MUSALLAM MOHAMED SALIM AL MAHRI</v>
          </cell>
        </row>
        <row r="136">
          <cell r="A136" t="str">
            <v>02/F0123</v>
          </cell>
          <cell r="B136" t="str">
            <v>MUSALLAM MOHAMED SALIM AL MAHRI</v>
          </cell>
        </row>
        <row r="137">
          <cell r="A137" t="str">
            <v>02/F0124</v>
          </cell>
          <cell r="B137" t="str">
            <v>LUBAN DEVELOPMENT &amp; INVESTMENT LLC</v>
          </cell>
        </row>
        <row r="138">
          <cell r="A138" t="str">
            <v>02/F0125</v>
          </cell>
          <cell r="B138" t="str">
            <v>SAID SALIM ABDULLAH AL AUFI</v>
          </cell>
        </row>
        <row r="139">
          <cell r="A139" t="str">
            <v>02/F0126</v>
          </cell>
          <cell r="B139" t="str">
            <v>LUBAN DEVELOPMENT &amp; INVESTMENT LLC</v>
          </cell>
        </row>
        <row r="140">
          <cell r="A140" t="str">
            <v>02/F0127</v>
          </cell>
          <cell r="B140" t="str">
            <v>RABAA KHALID HILAL AL NABHANI</v>
          </cell>
        </row>
        <row r="141">
          <cell r="A141" t="str">
            <v>02/F0128</v>
          </cell>
          <cell r="B141" t="str">
            <v>KHALID MOHAMED SALIM AL HARTHI</v>
          </cell>
        </row>
        <row r="142">
          <cell r="A142" t="str">
            <v>02/F0129</v>
          </cell>
          <cell r="B142" t="str">
            <v>MAKASIB REAL ESTATE LLC</v>
          </cell>
        </row>
        <row r="143">
          <cell r="A143" t="str">
            <v>02/F0130</v>
          </cell>
          <cell r="B143" t="str">
            <v>LUBAN DEVELOPMENT &amp; INVESTMENT LLC</v>
          </cell>
        </row>
        <row r="144">
          <cell r="A144" t="str">
            <v>02/F0131</v>
          </cell>
          <cell r="B144" t="str">
            <v>LUBAN DEVELOPMENT &amp; INVESTMENT LLC</v>
          </cell>
        </row>
        <row r="145">
          <cell r="A145" t="str">
            <v>02/F0132</v>
          </cell>
          <cell r="B145" t="str">
            <v>QAIS MALIK IBRAHIM AL KINDI</v>
          </cell>
        </row>
        <row r="146">
          <cell r="A146" t="str">
            <v>02/F0133</v>
          </cell>
          <cell r="B146" t="str">
            <v>MAKASIB REAL ESTATE LLC</v>
          </cell>
        </row>
        <row r="147">
          <cell r="A147" t="str">
            <v>02/F0134</v>
          </cell>
          <cell r="B147" t="str">
            <v>MAKASIB REAL ESTATE LLC</v>
          </cell>
        </row>
        <row r="148">
          <cell r="A148" t="str">
            <v>02/F0135</v>
          </cell>
          <cell r="B148" t="str">
            <v>MAKASIB REAL ESTATE LLC</v>
          </cell>
        </row>
        <row r="149">
          <cell r="A149" t="str">
            <v>02/F0136</v>
          </cell>
          <cell r="B149" t="str">
            <v>MAKASIB REAL ESTATE LLC</v>
          </cell>
        </row>
        <row r="150">
          <cell r="A150" t="str">
            <v>02/F0137</v>
          </cell>
          <cell r="B150" t="str">
            <v>LUBAN DEVELOPMENT &amp; INVESTMENT LLC</v>
          </cell>
        </row>
        <row r="151">
          <cell r="A151" t="str">
            <v>02/F0138</v>
          </cell>
          <cell r="B151" t="str">
            <v>HASSAN ABDULLAH SAID AL NAABI</v>
          </cell>
        </row>
        <row r="152">
          <cell r="A152" t="str">
            <v>02/F0139</v>
          </cell>
          <cell r="B152" t="str">
            <v>MUBARAK HAMED MUBARAK AL MUKHAINI</v>
          </cell>
        </row>
        <row r="153">
          <cell r="A153" t="str">
            <v>02/F0140</v>
          </cell>
          <cell r="B153" t="str">
            <v>MAKASIB REAL ESTATE LLC</v>
          </cell>
        </row>
        <row r="154">
          <cell r="A154" t="str">
            <v>02/F0141</v>
          </cell>
          <cell r="B154" t="str">
            <v>MAKASIB REAL ESTATE LLC</v>
          </cell>
        </row>
        <row r="155">
          <cell r="A155" t="str">
            <v>02/F0142</v>
          </cell>
          <cell r="B155" t="str">
            <v>MAKASIB REAL ESTATE LLC</v>
          </cell>
        </row>
        <row r="156">
          <cell r="A156" t="str">
            <v>02/F0143</v>
          </cell>
          <cell r="B156" t="str">
            <v>MAKASIB REAL ESTATE LLC</v>
          </cell>
        </row>
        <row r="157">
          <cell r="A157" t="str">
            <v>02/F0144</v>
          </cell>
          <cell r="B157" t="str">
            <v>MAKASIB REAL ESTATE LLC</v>
          </cell>
        </row>
        <row r="158">
          <cell r="A158" t="str">
            <v>02/F0145</v>
          </cell>
          <cell r="B158" t="str">
            <v>MOHAMED SAID NASSER AL RASHDI</v>
          </cell>
        </row>
        <row r="159">
          <cell r="A159" t="str">
            <v>02/F0146</v>
          </cell>
          <cell r="B159" t="str">
            <v>LUBAN DEVELOPMENT &amp; INVESTMENT LLC</v>
          </cell>
        </row>
        <row r="160">
          <cell r="A160" t="str">
            <v>02/F0147</v>
          </cell>
          <cell r="B160" t="str">
            <v>LUBAN DEVELOPMENT &amp; INVESTMENT LLC</v>
          </cell>
        </row>
        <row r="161">
          <cell r="A161" t="str">
            <v>02/F0148</v>
          </cell>
          <cell r="B161" t="str">
            <v>Majda Hamood Mohamed Al Salti</v>
          </cell>
        </row>
        <row r="162">
          <cell r="A162" t="str">
            <v>02/F0149</v>
          </cell>
          <cell r="B162" t="str">
            <v>MAKASIB REAL ESTATE LLC</v>
          </cell>
        </row>
        <row r="163">
          <cell r="A163" t="str">
            <v>02/F0150</v>
          </cell>
          <cell r="B163" t="str">
            <v>MAKASIB REAL ESTATE LLC</v>
          </cell>
        </row>
        <row r="164">
          <cell r="A164" t="str">
            <v>02/F0151</v>
          </cell>
          <cell r="B164" t="str">
            <v>Nakhal Ahlia Investment Company SOAC</v>
          </cell>
        </row>
        <row r="165">
          <cell r="A165" t="str">
            <v>02/F0152</v>
          </cell>
          <cell r="B165" t="str">
            <v>LUBAN DEVELOPMENT &amp; INVESTMENT LLC</v>
          </cell>
        </row>
        <row r="166">
          <cell r="A166" t="str">
            <v>02/F0153</v>
          </cell>
          <cell r="B166" t="str">
            <v>MOHAMMED SALEH SAID AL KINDI</v>
          </cell>
        </row>
        <row r="167">
          <cell r="A167" t="str">
            <v>02/F0154</v>
          </cell>
          <cell r="B167" t="str">
            <v>LUBAN DEVELOPMENT &amp; INVESTMENT LLC</v>
          </cell>
        </row>
        <row r="168">
          <cell r="A168" t="str">
            <v>02/G0001</v>
          </cell>
          <cell r="B168" t="str">
            <v>AMAN REIT</v>
          </cell>
        </row>
        <row r="169">
          <cell r="A169" t="str">
            <v>02/G0002</v>
          </cell>
          <cell r="B169" t="str">
            <v>IBRAHIM MOHAMMED AHMED AL HARTHI</v>
          </cell>
        </row>
        <row r="170">
          <cell r="A170" t="str">
            <v>02/G0003</v>
          </cell>
          <cell r="B170" t="str">
            <v>IBRAHIM MOHAMMED AHMED AL HARTHI</v>
          </cell>
        </row>
        <row r="171">
          <cell r="A171" t="str">
            <v>02/G0004</v>
          </cell>
          <cell r="B171" t="str">
            <v>HAMAD AZZAN ALI AL SIYABI</v>
          </cell>
        </row>
        <row r="172">
          <cell r="A172" t="str">
            <v>02/G0005</v>
          </cell>
          <cell r="B172" t="str">
            <v>BADER ABDULLA SAUD AL MAHRUQI</v>
          </cell>
        </row>
        <row r="173">
          <cell r="A173" t="str">
            <v>02/G0006</v>
          </cell>
          <cell r="B173" t="str">
            <v>ISSA HAMED MOHAMMED AL AZRI</v>
          </cell>
        </row>
        <row r="174">
          <cell r="A174" t="str">
            <v>02/G0007</v>
          </cell>
          <cell r="B174" t="str">
            <v>AMAN REIT</v>
          </cell>
        </row>
        <row r="175">
          <cell r="A175" t="str">
            <v>02/G0008</v>
          </cell>
          <cell r="B175" t="str">
            <v>YASSER ALI SAIF AL SALATI</v>
          </cell>
        </row>
        <row r="176">
          <cell r="A176" t="str">
            <v>02/G0009</v>
          </cell>
          <cell r="B176" t="str">
            <v>AMAN REIT</v>
          </cell>
        </row>
        <row r="177">
          <cell r="A177" t="str">
            <v>02/G0010</v>
          </cell>
          <cell r="B177" t="str">
            <v>SAID KHALIFA SAID AL MANDHARI</v>
          </cell>
        </row>
        <row r="178">
          <cell r="A178" t="str">
            <v>02/G0011</v>
          </cell>
          <cell r="B178" t="str">
            <v>BASIM HABIB YOUSUF AL BALUSHI</v>
          </cell>
        </row>
        <row r="179">
          <cell r="A179" t="str">
            <v>02/G0012</v>
          </cell>
          <cell r="B179" t="str">
            <v>AMAN REIT</v>
          </cell>
        </row>
        <row r="180">
          <cell r="A180" t="str">
            <v>02/G0013</v>
          </cell>
          <cell r="B180" t="str">
            <v>AMAN REIT</v>
          </cell>
        </row>
        <row r="181">
          <cell r="A181" t="str">
            <v>02/G0014</v>
          </cell>
          <cell r="B181" t="str">
            <v>KAHLAN HAMED KHALIFA AL SHAQSI</v>
          </cell>
        </row>
        <row r="182">
          <cell r="A182" t="str">
            <v>02/G0015</v>
          </cell>
          <cell r="B182" t="str">
            <v>ZAHIR AAQEB NASSER AL RAWAHI</v>
          </cell>
        </row>
        <row r="183">
          <cell r="A183" t="str">
            <v>02/G0016</v>
          </cell>
          <cell r="B183" t="str">
            <v>YASSER ABDUL HUSSAIN GUL MOHAMED AL FADHIL</v>
          </cell>
        </row>
        <row r="184">
          <cell r="A184" t="str">
            <v>02/G0017</v>
          </cell>
          <cell r="B184" t="str">
            <v>AHMED SAIF MALIK AL KINDI</v>
          </cell>
        </row>
        <row r="185">
          <cell r="A185" t="str">
            <v>02/G0018</v>
          </cell>
          <cell r="B185" t="str">
            <v>AMAN REIT</v>
          </cell>
        </row>
        <row r="186">
          <cell r="A186" t="str">
            <v>02/G0019</v>
          </cell>
          <cell r="B186" t="str">
            <v>AMAN REIT</v>
          </cell>
        </row>
        <row r="187">
          <cell r="A187" t="str">
            <v>02/G0020</v>
          </cell>
          <cell r="B187" t="str">
            <v>AMAN REIT</v>
          </cell>
        </row>
        <row r="188">
          <cell r="A188" t="str">
            <v>02/G0021</v>
          </cell>
          <cell r="B188" t="str">
            <v>AMAN REIT</v>
          </cell>
        </row>
        <row r="189">
          <cell r="A189" t="str">
            <v>02/G0022</v>
          </cell>
          <cell r="B189" t="str">
            <v>SALIM ALI SAID AL BUWAIQI</v>
          </cell>
        </row>
        <row r="190">
          <cell r="A190" t="str">
            <v>02/G0023</v>
          </cell>
          <cell r="B190" t="str">
            <v>AISHA AHMED MOHAMED ALHARTHI</v>
          </cell>
        </row>
        <row r="191">
          <cell r="A191" t="str">
            <v>02/G0024</v>
          </cell>
          <cell r="B191" t="str">
            <v>RASHID MOHAMED RASHID AL DHABARI</v>
          </cell>
        </row>
        <row r="192">
          <cell r="A192" t="str">
            <v>02/G0025</v>
          </cell>
          <cell r="B192" t="str">
            <v>RASHID MOHAMED RASHID AL DHABARI</v>
          </cell>
        </row>
        <row r="193">
          <cell r="A193" t="str">
            <v>02/G0026</v>
          </cell>
          <cell r="B193" t="str">
            <v>RASHID MOHAMED RASHID AL DHABARI</v>
          </cell>
        </row>
        <row r="194">
          <cell r="A194" t="str">
            <v>02/G0027</v>
          </cell>
          <cell r="B194" t="str">
            <v>AMAN REIT</v>
          </cell>
        </row>
        <row r="195">
          <cell r="A195" t="str">
            <v>02/G0028</v>
          </cell>
          <cell r="B195" t="str">
            <v>AMAN REIT</v>
          </cell>
        </row>
        <row r="196">
          <cell r="A196" t="str">
            <v>02/G0029</v>
          </cell>
          <cell r="B196" t="str">
            <v>HAMED HAMOOD HAMED AL BUSAIDI</v>
          </cell>
        </row>
        <row r="197">
          <cell r="A197" t="str">
            <v>02/G0030</v>
          </cell>
          <cell r="B197" t="str">
            <v>BASIM MOHAMED ABDULLAH AL LAWATI</v>
          </cell>
        </row>
        <row r="198">
          <cell r="A198" t="str">
            <v>02/G0031</v>
          </cell>
          <cell r="B198" t="str">
            <v>NAIF ABDULLAH SALIM HAMED AL KALBANI</v>
          </cell>
        </row>
        <row r="199">
          <cell r="A199" t="str">
            <v>02/G0032</v>
          </cell>
          <cell r="B199" t="str">
            <v>MAHA FAISAL MOHAMMED</v>
          </cell>
        </row>
        <row r="200">
          <cell r="A200" t="str">
            <v>02/G0033</v>
          </cell>
          <cell r="B200" t="str">
            <v>SALIMA MOHAMMED SALIM AL ISMAILI</v>
          </cell>
        </row>
        <row r="201">
          <cell r="A201" t="str">
            <v>02/G0034</v>
          </cell>
          <cell r="B201" t="str">
            <v>MAHFOODH ALI HAMED AL SALMANI</v>
          </cell>
        </row>
        <row r="202">
          <cell r="A202" t="str">
            <v>02/G0035</v>
          </cell>
          <cell r="B202" t="str">
            <v>BASIM MOHAMED ABDULLAH AL LAWATI</v>
          </cell>
        </row>
        <row r="203">
          <cell r="A203" t="str">
            <v>02/G0036</v>
          </cell>
          <cell r="B203" t="str">
            <v>SALAM AHMED SULAIMAN AL KINDI</v>
          </cell>
        </row>
        <row r="204">
          <cell r="A204" t="str">
            <v>02/G0037</v>
          </cell>
          <cell r="B204" t="str">
            <v>KULTHOOM JANJAN ALBULUSHI</v>
          </cell>
        </row>
        <row r="205">
          <cell r="A205" t="str">
            <v>02/G0038</v>
          </cell>
          <cell r="B205" t="str">
            <v>SADA SAIF HILAL AL HARTHI</v>
          </cell>
        </row>
        <row r="206">
          <cell r="A206" t="str">
            <v>02/G0039</v>
          </cell>
          <cell r="B206" t="str">
            <v>AHMED TALIB ALI AL HADHRAMI</v>
          </cell>
        </row>
        <row r="207">
          <cell r="A207" t="str">
            <v>02/G0040</v>
          </cell>
          <cell r="B207" t="str">
            <v>AMAN REIT</v>
          </cell>
        </row>
        <row r="208">
          <cell r="A208" t="str">
            <v>02/G0041</v>
          </cell>
          <cell r="B208" t="str">
            <v>AMAN REIT</v>
          </cell>
        </row>
        <row r="209">
          <cell r="A209" t="str">
            <v>02/G0042</v>
          </cell>
          <cell r="B209" t="str">
            <v>AMAN REIT</v>
          </cell>
        </row>
        <row r="210">
          <cell r="A210" t="str">
            <v>02/G0043</v>
          </cell>
          <cell r="B210" t="str">
            <v>NASER HUMAID SANAD AL YAHYAI</v>
          </cell>
        </row>
        <row r="211">
          <cell r="A211" t="str">
            <v>02/G0044</v>
          </cell>
          <cell r="B211" t="str">
            <v>NASER HUMAID SANAD AL YAHYAI</v>
          </cell>
        </row>
        <row r="212">
          <cell r="A212" t="str">
            <v>02/G0045</v>
          </cell>
          <cell r="B212" t="str">
            <v>NASER HUMAID SANAD AL YAHYAI</v>
          </cell>
        </row>
        <row r="213">
          <cell r="A213" t="str">
            <v>02/G0046</v>
          </cell>
          <cell r="B213" t="str">
            <v>SAID NASSER SALIM AL RASHDI</v>
          </cell>
        </row>
        <row r="214">
          <cell r="A214" t="str">
            <v>02/G0047</v>
          </cell>
          <cell r="B214" t="str">
            <v>AHMED SAID NASSER AL RASHDI</v>
          </cell>
        </row>
        <row r="215">
          <cell r="A215" t="str">
            <v>02/G0048</v>
          </cell>
          <cell r="B215" t="str">
            <v>AHMED SAID NASSER AL RASHDI</v>
          </cell>
        </row>
        <row r="216">
          <cell r="A216" t="str">
            <v>02/G0049</v>
          </cell>
          <cell r="B216" t="str">
            <v>ALI SALIM SAID AL SULAIMI</v>
          </cell>
        </row>
        <row r="217">
          <cell r="A217" t="str">
            <v>02/G0050</v>
          </cell>
          <cell r="B217" t="str">
            <v>MOHAMMED SALIM KHANFOOR AL SHUAILI</v>
          </cell>
        </row>
        <row r="218">
          <cell r="A218" t="str">
            <v>02/G0051</v>
          </cell>
          <cell r="B218" t="str">
            <v>ISSA SALEH MOHAMMED AL AZRI</v>
          </cell>
        </row>
        <row r="219">
          <cell r="A219" t="str">
            <v>02/G0052</v>
          </cell>
          <cell r="B219" t="str">
            <v>ISSA SALEH MOHAMMED AL AZRI</v>
          </cell>
        </row>
        <row r="220">
          <cell r="A220" t="str">
            <v>02/G0053</v>
          </cell>
          <cell r="B220" t="str">
            <v>KHALID ABDULLAH ALI AL MAHARBI</v>
          </cell>
        </row>
        <row r="221">
          <cell r="A221" t="str">
            <v>02/G0054</v>
          </cell>
          <cell r="B221" t="str">
            <v>AMAN REIT</v>
          </cell>
        </row>
        <row r="222">
          <cell r="A222" t="str">
            <v>02/G0055</v>
          </cell>
          <cell r="B222" t="str">
            <v>MAZIN MAHMOOD ALRAISI</v>
          </cell>
        </row>
        <row r="223">
          <cell r="A223" t="str">
            <v>02/G0056</v>
          </cell>
          <cell r="B223" t="str">
            <v xml:space="preserve"> Faisal Ghusn Saif Al Rubaiey</v>
          </cell>
        </row>
        <row r="224">
          <cell r="A224" t="str">
            <v>02/G0058</v>
          </cell>
          <cell r="B224" t="str">
            <v>SAID SALIM FIRUZ AL GHEFEILI</v>
          </cell>
        </row>
        <row r="225">
          <cell r="A225" t="str">
            <v>06/F0101</v>
          </cell>
          <cell r="B225" t="str">
            <v>LUBAN DEVELOPMENT &amp; INVESTMENT LLC</v>
          </cell>
        </row>
        <row r="226">
          <cell r="A226" t="str">
            <v>06/F0102</v>
          </cell>
          <cell r="B226" t="str">
            <v>SULTAN HAMID QASIM AL HAMMADI</v>
          </cell>
        </row>
        <row r="227">
          <cell r="A227" t="str">
            <v>06/F0103</v>
          </cell>
          <cell r="B227" t="str">
            <v>MOHAMED SALEEM HAMED AL YAQOOBI</v>
          </cell>
        </row>
        <row r="228">
          <cell r="A228" t="str">
            <v>06/F0104</v>
          </cell>
          <cell r="B228" t="str">
            <v>FAIZA ALI YOUSUF AL BALUSHI</v>
          </cell>
        </row>
        <row r="229">
          <cell r="A229" t="str">
            <v>06/F0105</v>
          </cell>
          <cell r="B229" t="str">
            <v>MAKASIB REAL ESTATE LLC</v>
          </cell>
        </row>
        <row r="230">
          <cell r="A230" t="str">
            <v>06/F0106</v>
          </cell>
          <cell r="B230" t="str">
            <v>ABDULLAH SAID KHALFAN AL GHAFRI</v>
          </cell>
        </row>
        <row r="231">
          <cell r="A231" t="str">
            <v>06/F0107</v>
          </cell>
          <cell r="B231" t="str">
            <v>HAMOOD ABDULLAH HAFIDH AL HABSI</v>
          </cell>
        </row>
        <row r="232">
          <cell r="A232" t="str">
            <v>06/F0108</v>
          </cell>
          <cell r="B232" t="str">
            <v>AZIZ SALIM HASSAN AWAD THANI</v>
          </cell>
        </row>
        <row r="233">
          <cell r="A233" t="str">
            <v>06/F0109</v>
          </cell>
          <cell r="B233" t="str">
            <v>YAQOOB MANSOOR ALI AL RUQAISHI</v>
          </cell>
        </row>
        <row r="234">
          <cell r="A234" t="str">
            <v>06/F0110</v>
          </cell>
          <cell r="B234" t="str">
            <v>YAQOOB MANSOOR ALI AL RUQAISHI</v>
          </cell>
        </row>
        <row r="235">
          <cell r="A235" t="str">
            <v>06/F0111</v>
          </cell>
          <cell r="B235" t="str">
            <v>YAQOOB MANSOOR ALI AL RUQAISHI</v>
          </cell>
        </row>
        <row r="236">
          <cell r="A236" t="str">
            <v>06/F0112</v>
          </cell>
          <cell r="B236" t="str">
            <v>MAKASIB REAL ESTATE LLC</v>
          </cell>
        </row>
        <row r="237">
          <cell r="A237" t="str">
            <v>06/F0113</v>
          </cell>
          <cell r="B237" t="str">
            <v>ABDULLAH SAUD NASSER AL SUBHI</v>
          </cell>
        </row>
        <row r="238">
          <cell r="A238" t="str">
            <v>06/F0114</v>
          </cell>
          <cell r="B238" t="str">
            <v>SUMAIYA ALI NASSER AL KHARUSI</v>
          </cell>
        </row>
        <row r="239">
          <cell r="A239" t="str">
            <v>06/F0115</v>
          </cell>
          <cell r="B239" t="str">
            <v>SAFA MANSOOR SAUD AL SHIDHANI</v>
          </cell>
        </row>
        <row r="240">
          <cell r="A240" t="str">
            <v>06/F0116</v>
          </cell>
          <cell r="B240" t="str">
            <v>NUSAIBA ABDULLAH SAIF AL KINDY</v>
          </cell>
        </row>
        <row r="241">
          <cell r="A241" t="str">
            <v>06/F0117</v>
          </cell>
          <cell r="B241" t="str">
            <v>SAID SALIM SAID AL SIYABI</v>
          </cell>
        </row>
        <row r="242">
          <cell r="A242" t="str">
            <v>06/F0118</v>
          </cell>
          <cell r="B242" t="str">
            <v>SAFIA ABDULLAH AHMED AL KINDI</v>
          </cell>
        </row>
        <row r="243">
          <cell r="A243" t="str">
            <v>06/F0119</v>
          </cell>
          <cell r="B243" t="str">
            <v>MOHAMED AHMED HAMED AL KHALILI</v>
          </cell>
        </row>
        <row r="244">
          <cell r="A244" t="str">
            <v>06/F0120</v>
          </cell>
          <cell r="B244" t="str">
            <v>KHALSA AHMED HAMED AL KHALILI</v>
          </cell>
        </row>
        <row r="245">
          <cell r="A245" t="str">
            <v>06/F0121</v>
          </cell>
          <cell r="B245" t="str">
            <v>MAKASIB REAL ESTATE LLC</v>
          </cell>
        </row>
        <row r="246">
          <cell r="A246" t="str">
            <v>06/F0122</v>
          </cell>
          <cell r="B246" t="str">
            <v>FARIS MUBARAK OMAR AL BALUSHI</v>
          </cell>
        </row>
        <row r="247">
          <cell r="A247" t="str">
            <v>06/F0123</v>
          </cell>
          <cell r="B247" t="str">
            <v>MAKASIB REAL ESTATE LLC</v>
          </cell>
        </row>
        <row r="248">
          <cell r="A248" t="str">
            <v>06/F0124</v>
          </cell>
          <cell r="B248" t="str">
            <v>MAKASIB REAL ESTATE LLC</v>
          </cell>
        </row>
        <row r="249">
          <cell r="A249" t="str">
            <v>06/F0125</v>
          </cell>
          <cell r="B249" t="str">
            <v>MAKASIB REAL ESTATE LLC</v>
          </cell>
        </row>
        <row r="250">
          <cell r="A250" t="str">
            <v>06/F0126</v>
          </cell>
          <cell r="B250" t="str">
            <v>MAKASIB REAL ESTATE LLC</v>
          </cell>
        </row>
        <row r="251">
          <cell r="A251" t="str">
            <v>06/F0127</v>
          </cell>
          <cell r="B251" t="str">
            <v>MOHAMED ABDULLAH AHMED AL HINAI</v>
          </cell>
        </row>
        <row r="252">
          <cell r="A252" t="str">
            <v>06/F0128</v>
          </cell>
          <cell r="B252" t="str">
            <v>IBTISAM MOHAMMED SALIM AL RAJAIBI</v>
          </cell>
        </row>
        <row r="253">
          <cell r="A253" t="str">
            <v>06/F0129</v>
          </cell>
          <cell r="B253" t="str">
            <v>SAID MALIK IBRAHIM AL KINDI</v>
          </cell>
        </row>
        <row r="254">
          <cell r="A254" t="str">
            <v>06/F0130</v>
          </cell>
          <cell r="B254" t="str">
            <v>ZEYANA SALIM MUSALLAM AL SIYABI</v>
          </cell>
        </row>
        <row r="255">
          <cell r="A255" t="str">
            <v>06/F0131</v>
          </cell>
          <cell r="B255" t="str">
            <v>ZEYANA SALIM MUSALLAM AL SIYABI</v>
          </cell>
        </row>
        <row r="256">
          <cell r="A256" t="str">
            <v>06/F0132</v>
          </cell>
          <cell r="B256" t="str">
            <v>SALIM KHALFAN MOHAMMED AL SIBANI</v>
          </cell>
        </row>
        <row r="257">
          <cell r="A257" t="str">
            <v>06/F0133</v>
          </cell>
          <cell r="B257" t="str">
            <v>KHAMIS HAMEED SULIAMAN AL BUSAIDE</v>
          </cell>
        </row>
        <row r="258">
          <cell r="A258" t="str">
            <v>06/F0134</v>
          </cell>
          <cell r="B258" t="str">
            <v>MAKASIB REAL ESTATE LLC</v>
          </cell>
        </row>
        <row r="259">
          <cell r="A259" t="str">
            <v>06/F0135</v>
          </cell>
          <cell r="B259" t="str">
            <v>MAKASIB REAL ESTATE LLC</v>
          </cell>
        </row>
        <row r="260">
          <cell r="A260" t="str">
            <v>06/F0136</v>
          </cell>
          <cell r="B260" t="str">
            <v>MAKASIB REAL ESTATE LLC</v>
          </cell>
        </row>
        <row r="261">
          <cell r="A261" t="str">
            <v>06/F0137</v>
          </cell>
          <cell r="B261" t="str">
            <v>MAKASIB REAL ESTATE LLC</v>
          </cell>
        </row>
        <row r="262">
          <cell r="A262" t="str">
            <v>06/F0138</v>
          </cell>
          <cell r="B262" t="str">
            <v>ALI HUMAID ALI AL HARTHI</v>
          </cell>
        </row>
        <row r="263">
          <cell r="A263" t="str">
            <v>06/F0139</v>
          </cell>
          <cell r="B263" t="str">
            <v>MUNA ALI ABDULLAH AL SUBHI</v>
          </cell>
        </row>
        <row r="264">
          <cell r="A264" t="str">
            <v>06/F0140</v>
          </cell>
          <cell r="B264" t="str">
            <v>SALAH SALIM MUSALAM AL SHUKAIRI</v>
          </cell>
        </row>
        <row r="265">
          <cell r="A265" t="str">
            <v>06/F0141</v>
          </cell>
          <cell r="B265" t="str">
            <v>RUQAIYA HILAL ABDULLAH AL ABRI</v>
          </cell>
        </row>
        <row r="266">
          <cell r="A266" t="str">
            <v>06/F0142</v>
          </cell>
          <cell r="B266" t="str">
            <v>AISHA ABDULLAH ALI AL KHALILI</v>
          </cell>
        </row>
        <row r="267">
          <cell r="A267" t="str">
            <v>06/F0143</v>
          </cell>
          <cell r="B267" t="str">
            <v>AISHA ABDULLAH ALI AL KHALILI</v>
          </cell>
        </row>
        <row r="268">
          <cell r="A268" t="str">
            <v>06/F0144</v>
          </cell>
          <cell r="B268" t="str">
            <v>ALI SAID MUBARAK AL BARTAMANI</v>
          </cell>
        </row>
        <row r="269">
          <cell r="A269" t="str">
            <v>06/F0145</v>
          </cell>
          <cell r="B269" t="str">
            <v>MAKASIB REAL ESTATE LLC</v>
          </cell>
        </row>
        <row r="270">
          <cell r="A270" t="str">
            <v>06/F0146</v>
          </cell>
          <cell r="B270" t="str">
            <v>HUSSAIN ALI AHMED AL QASSIMI</v>
          </cell>
        </row>
        <row r="271">
          <cell r="A271" t="str">
            <v>06/F0147</v>
          </cell>
          <cell r="B271" t="str">
            <v>SHADEN INTERNATIONAL LLC</v>
          </cell>
        </row>
        <row r="272">
          <cell r="A272" t="str">
            <v>06/F0148</v>
          </cell>
          <cell r="B272" t="str">
            <v>MOHAMMED ABDULLAH YOUSUF</v>
          </cell>
        </row>
        <row r="273">
          <cell r="A273" t="str">
            <v>06/F0149</v>
          </cell>
          <cell r="B273" t="str">
            <v>ALYA MOHAMED KHAMIS AL QASMI</v>
          </cell>
        </row>
        <row r="274">
          <cell r="A274" t="str">
            <v>06/F0150</v>
          </cell>
          <cell r="B274" t="str">
            <v>SULTAN ZAYID NASSER AL MUHARAMI</v>
          </cell>
        </row>
        <row r="275">
          <cell r="A275" t="str">
            <v>06/F0151</v>
          </cell>
          <cell r="B275" t="str">
            <v>SAMI NASSER ALI AL HARTHY</v>
          </cell>
        </row>
        <row r="276">
          <cell r="A276" t="str">
            <v>06/F0152</v>
          </cell>
          <cell r="B276" t="str">
            <v>MAHIR NASSER ALI AL HARTHY</v>
          </cell>
        </row>
        <row r="277">
          <cell r="A277" t="str">
            <v>06/F0153</v>
          </cell>
          <cell r="B277" t="str">
            <v>MOOSA MOHSIN ABDUL AZIZ AL BALUSHI</v>
          </cell>
        </row>
        <row r="278">
          <cell r="A278" t="str">
            <v>06/F0154</v>
          </cell>
          <cell r="B278" t="str">
            <v>MAHMOOD SHAMBEH IBRAHIM AL BALUSHI</v>
          </cell>
        </row>
        <row r="279">
          <cell r="A279" t="str">
            <v>06/F0155</v>
          </cell>
          <cell r="B279" t="str">
            <v>BASIM MOHAMED ABDULLAH AL LAWATI</v>
          </cell>
        </row>
        <row r="280">
          <cell r="A280" t="str">
            <v>06/F0156</v>
          </cell>
          <cell r="B280" t="str">
            <v>JUMA SAID ALI AL JABRI</v>
          </cell>
        </row>
        <row r="281">
          <cell r="A281" t="str">
            <v>06/F0157</v>
          </cell>
          <cell r="B281" t="str">
            <v>NASR HAMOOD AHMED AL KINDI</v>
          </cell>
        </row>
        <row r="282">
          <cell r="A282" t="str">
            <v>06/F0158</v>
          </cell>
          <cell r="B282" t="str">
            <v>NASR HAMOOD AHMED AL KINDI</v>
          </cell>
        </row>
        <row r="283">
          <cell r="A283" t="str">
            <v>06/F0159</v>
          </cell>
          <cell r="B283" t="str">
            <v>SULAIMAN HAMOOD AL KINDI</v>
          </cell>
        </row>
        <row r="284">
          <cell r="A284" t="str">
            <v>06/F0160</v>
          </cell>
          <cell r="B284" t="str">
            <v>Manal Said Mubarak Al Ghazali</v>
          </cell>
        </row>
        <row r="285">
          <cell r="A285" t="str">
            <v>06/F0161</v>
          </cell>
          <cell r="B285" t="str">
            <v>FAISAL SAOUD HAMED AL AMRI</v>
          </cell>
        </row>
        <row r="286">
          <cell r="A286" t="str">
            <v>06/F0162</v>
          </cell>
          <cell r="B286" t="str">
            <v>SHADEN INTERNATIONAL LLC</v>
          </cell>
        </row>
        <row r="287">
          <cell r="A287" t="str">
            <v>06/F0163</v>
          </cell>
          <cell r="B287" t="str">
            <v>SHADEN INTERNATIONAL LLC</v>
          </cell>
        </row>
        <row r="288">
          <cell r="A288" t="str">
            <v>06/F0164</v>
          </cell>
          <cell r="B288" t="str">
            <v>BADAR MOHAMED KHAMIS AL ZDJALI</v>
          </cell>
        </row>
        <row r="289">
          <cell r="A289" t="str">
            <v>06/F0165</v>
          </cell>
          <cell r="B289" t="str">
            <v>BADAR MOHAMED KHAMIS AL ZDJALI</v>
          </cell>
        </row>
        <row r="290">
          <cell r="A290" t="str">
            <v>06/F0166</v>
          </cell>
          <cell r="B290" t="str">
            <v>NASR HAMOOD AHMED AL KINDI</v>
          </cell>
        </row>
        <row r="291">
          <cell r="A291" t="str">
            <v>06/F0167</v>
          </cell>
          <cell r="B291" t="str">
            <v>NASR HAMOOD AHMED AL KINDI</v>
          </cell>
        </row>
        <row r="292">
          <cell r="A292" t="str">
            <v>06/F0168</v>
          </cell>
          <cell r="B292" t="str">
            <v>HAMOOD ABDULLA HAMOOD AL KINDI</v>
          </cell>
        </row>
        <row r="293">
          <cell r="A293" t="str">
            <v>06/F0169</v>
          </cell>
          <cell r="B293" t="str">
            <v>ZAHIR ALI HAMED AL BALUSHI</v>
          </cell>
        </row>
        <row r="294">
          <cell r="A294" t="str">
            <v>06/F0170</v>
          </cell>
          <cell r="B294" t="str">
            <v>HASA ABDULLAH ALI AL BREIKI</v>
          </cell>
        </row>
        <row r="295">
          <cell r="A295" t="str">
            <v>06/F0171</v>
          </cell>
          <cell r="B295" t="str">
            <v>MOHAMED SAID KHALFAN AL RIYAMI</v>
          </cell>
        </row>
        <row r="296">
          <cell r="A296" t="str">
            <v>06/F0172</v>
          </cell>
          <cell r="B296" t="str">
            <v>YAHYA SALAM SALIM AL MANDHARI</v>
          </cell>
        </row>
        <row r="297">
          <cell r="A297" t="str">
            <v>06/F0173</v>
          </cell>
          <cell r="B297" t="str">
            <v>SAMI SALAM SALIM AL MANDHARI</v>
          </cell>
        </row>
        <row r="298">
          <cell r="A298" t="str">
            <v>06/F0174</v>
          </cell>
          <cell r="B298" t="str">
            <v>ZAHER ABDULLAH AL HARMALLY</v>
          </cell>
        </row>
        <row r="299">
          <cell r="A299" t="str">
            <v>06/F0175</v>
          </cell>
          <cell r="B299" t="str">
            <v>RUAA and AMMAR AL SHIDI</v>
          </cell>
        </row>
        <row r="300">
          <cell r="A300" t="str">
            <v>06/F0176</v>
          </cell>
          <cell r="B300" t="str">
            <v>SHAMSA MALIK IBRAHIM AL KINDI</v>
          </cell>
        </row>
        <row r="301">
          <cell r="A301" t="str">
            <v>06/F0177</v>
          </cell>
          <cell r="B301" t="str">
            <v>MASOUD MOHAMMED KHALFAN AL HARTHI</v>
          </cell>
        </row>
        <row r="302">
          <cell r="A302" t="str">
            <v>06/F0178</v>
          </cell>
          <cell r="B302" t="str">
            <v>ABDULLAH HAMOOD MOHAMMED ALHARTHY</v>
          </cell>
        </row>
        <row r="303">
          <cell r="A303" t="str">
            <v>06/F0179</v>
          </cell>
          <cell r="B303" t="str">
            <v>HARIB NASSER ALHARTHY</v>
          </cell>
        </row>
        <row r="304">
          <cell r="A304" t="str">
            <v>06/F0180</v>
          </cell>
          <cell r="B304" t="str">
            <v>SAID MOHAMMED ALHARTHI</v>
          </cell>
        </row>
        <row r="305">
          <cell r="A305" t="str">
            <v>06/F0181</v>
          </cell>
          <cell r="B305" t="str">
            <v>AZAN DHAHI MOHAMMED MUSABAH AL GHAITHI</v>
          </cell>
        </row>
        <row r="306">
          <cell r="A306" t="str">
            <v>06/F0182</v>
          </cell>
          <cell r="B306" t="str">
            <v>TALAL MOHAMED IBRAHIM AL BULUSHI</v>
          </cell>
        </row>
        <row r="307">
          <cell r="A307" t="str">
            <v>06/F0183</v>
          </cell>
          <cell r="B307" t="str">
            <v>Issa Saoud Mohsin Al Amri</v>
          </cell>
        </row>
        <row r="308">
          <cell r="A308" t="str">
            <v>06/F0184</v>
          </cell>
          <cell r="B308" t="str">
            <v>Fadia Ghalib Badar Al Busaidi</v>
          </cell>
        </row>
        <row r="309">
          <cell r="A309" t="str">
            <v>06/F0185</v>
          </cell>
          <cell r="B309" t="str">
            <v>YAHYA ZAYID KHALIFA AL KIYUMI</v>
          </cell>
        </row>
        <row r="310">
          <cell r="A310" t="str">
            <v>06/F0186</v>
          </cell>
          <cell r="B310" t="str">
            <v>YAHYA ZAYID KHALIFA AL KIYUMI</v>
          </cell>
        </row>
        <row r="311">
          <cell r="A311" t="str">
            <v>06/F0187</v>
          </cell>
          <cell r="B311" t="str">
            <v>YAHYA ZAYID KHALIFA AL KIYUMI</v>
          </cell>
        </row>
        <row r="312">
          <cell r="A312" t="str">
            <v>06/F0188</v>
          </cell>
          <cell r="B312" t="str">
            <v>MAJAAN INDUSTRIES &amp; ENTERPRISES LLC</v>
          </cell>
        </row>
        <row r="313">
          <cell r="A313" t="str">
            <v>06/F0189</v>
          </cell>
          <cell r="B313" t="str">
            <v>ALI NASSER ALI AL HARTHY</v>
          </cell>
        </row>
        <row r="314">
          <cell r="A314" t="str">
            <v>06/F0190</v>
          </cell>
          <cell r="B314" t="str">
            <v>HILAL SAIF HAMOOD AL ISMAILI</v>
          </cell>
        </row>
        <row r="315">
          <cell r="A315" t="str">
            <v>06/F0191</v>
          </cell>
          <cell r="B315" t="str">
            <v>ZUWAINA SALIM SAID AL NUUMANI</v>
          </cell>
        </row>
        <row r="316">
          <cell r="A316" t="str">
            <v>06/F0192</v>
          </cell>
          <cell r="B316" t="str">
            <v>LUBAN DEVELOPMENT &amp; INVESTMENT LLC</v>
          </cell>
        </row>
        <row r="317">
          <cell r="A317" t="str">
            <v>06/G0001</v>
          </cell>
          <cell r="B317" t="str">
            <v>TARAQ ATIQ</v>
          </cell>
        </row>
        <row r="318">
          <cell r="A318" t="str">
            <v>06/G0002</v>
          </cell>
          <cell r="B318" t="str">
            <v>TARAQ ATIQ</v>
          </cell>
        </row>
        <row r="319">
          <cell r="A319" t="str">
            <v>06/G0003</v>
          </cell>
          <cell r="B319" t="str">
            <v>AMAN REIT</v>
          </cell>
        </row>
        <row r="320">
          <cell r="A320" t="str">
            <v>06/G0004</v>
          </cell>
          <cell r="B320" t="str">
            <v>ZIYAD ALI YOUSUF AL BALUSHI</v>
          </cell>
        </row>
        <row r="321">
          <cell r="A321" t="str">
            <v>06/G0005</v>
          </cell>
          <cell r="B321" t="str">
            <v>SAID KHALFAN SALIM AL HARRASI</v>
          </cell>
        </row>
        <row r="322">
          <cell r="A322" t="str">
            <v>06/G0006</v>
          </cell>
          <cell r="B322" t="str">
            <v>Nakhal Ahlia Investment Company SOAC</v>
          </cell>
        </row>
        <row r="323">
          <cell r="A323" t="str">
            <v>06/G0007</v>
          </cell>
          <cell r="B323" t="str">
            <v>HAMOOD ABDULLAH HAFIDH AL HABSI</v>
          </cell>
        </row>
        <row r="324">
          <cell r="A324" t="str">
            <v>06/G0008</v>
          </cell>
          <cell r="B324" t="str">
            <v>AMAN REIT</v>
          </cell>
        </row>
        <row r="325">
          <cell r="A325" t="str">
            <v>06/G0009</v>
          </cell>
          <cell r="B325" t="str">
            <v>MANSOOR MOHAMED HAMMAD AL HABSI</v>
          </cell>
        </row>
        <row r="326">
          <cell r="A326" t="str">
            <v>06/G0010</v>
          </cell>
          <cell r="B326" t="str">
            <v>TAMIM SULAIMAN HABIB SALIM AL BATRANI</v>
          </cell>
        </row>
        <row r="327">
          <cell r="A327" t="str">
            <v>06/G0011</v>
          </cell>
          <cell r="B327" t="str">
            <v>AMAN REIT</v>
          </cell>
        </row>
        <row r="328">
          <cell r="A328" t="str">
            <v>06/G0012</v>
          </cell>
          <cell r="B328" t="str">
            <v>AMAN REIT</v>
          </cell>
        </row>
        <row r="329">
          <cell r="A329" t="str">
            <v>06/G0013</v>
          </cell>
          <cell r="B329" t="str">
            <v>MOHAMMED MUSABAH AL KALBANI</v>
          </cell>
        </row>
        <row r="330">
          <cell r="A330" t="str">
            <v>06/G0014</v>
          </cell>
          <cell r="B330" t="str">
            <v>ABDULLAH SAID KHALFAN AL GHAFRI</v>
          </cell>
        </row>
        <row r="331">
          <cell r="A331" t="str">
            <v>06/G0015</v>
          </cell>
          <cell r="B331" t="str">
            <v>ABDULLAH SAID KHALFAN AL GHAFRI</v>
          </cell>
        </row>
        <row r="332">
          <cell r="A332" t="str">
            <v>06/G0016</v>
          </cell>
          <cell r="B332" t="str">
            <v>SHAIKHA SAAD HILAL AL BARWANI</v>
          </cell>
        </row>
        <row r="333">
          <cell r="A333" t="str">
            <v>06/G0017</v>
          </cell>
          <cell r="B333" t="str">
            <v>AMAN REIT</v>
          </cell>
        </row>
        <row r="334">
          <cell r="A334" t="str">
            <v>06/G0018</v>
          </cell>
          <cell r="B334" t="str">
            <v>HILAL MOHAMED HUMAID ALWAILI</v>
          </cell>
        </row>
        <row r="335">
          <cell r="A335" t="str">
            <v>06/G0019</v>
          </cell>
          <cell r="B335" t="str">
            <v>ALI SAID MUBARAK AL BARTAMANI</v>
          </cell>
        </row>
        <row r="336">
          <cell r="A336" t="str">
            <v>06/G0020</v>
          </cell>
          <cell r="B336" t="str">
            <v>ZAHER ABDULLAH AL HARMALLY</v>
          </cell>
        </row>
        <row r="337">
          <cell r="A337" t="str">
            <v>06/G0021</v>
          </cell>
          <cell r="B337" t="str">
            <v>SALIM KHALFAN MOHAMMED AL SIBANI</v>
          </cell>
        </row>
        <row r="338">
          <cell r="A338" t="str">
            <v>06/G0022</v>
          </cell>
          <cell r="B338" t="str">
            <v>SALIM KHALFAN MOHAMMED AL SIBANI</v>
          </cell>
        </row>
        <row r="339">
          <cell r="A339" t="str">
            <v>06/G0023</v>
          </cell>
          <cell r="B339" t="str">
            <v>KHAMIS HAMEED SULIAMAN AL BUSAIDE</v>
          </cell>
        </row>
        <row r="340">
          <cell r="A340" t="str">
            <v>06/G0024</v>
          </cell>
          <cell r="B340" t="str">
            <v>KHAMIS HAMEED SULIAMAN AL BUSAIDE</v>
          </cell>
        </row>
        <row r="341">
          <cell r="A341" t="str">
            <v>06/G0025</v>
          </cell>
          <cell r="B341" t="str">
            <v>AHMED JUMA ALI ALBAHRANI</v>
          </cell>
        </row>
        <row r="342">
          <cell r="A342" t="str">
            <v>06/G0026</v>
          </cell>
          <cell r="B342" t="str">
            <v>RAHILA ZAHRAN SALIM</v>
          </cell>
        </row>
        <row r="343">
          <cell r="A343" t="str">
            <v>06/G0027</v>
          </cell>
          <cell r="B343" t="str">
            <v>BASIMA MAJID MUSABAH  AL MAAMARI</v>
          </cell>
        </row>
        <row r="344">
          <cell r="A344" t="str">
            <v>06/G0028</v>
          </cell>
          <cell r="B344" t="str">
            <v>HILAL MARHOON SALIM AL MAAMRY</v>
          </cell>
        </row>
        <row r="345">
          <cell r="A345" t="str">
            <v>06/G0029</v>
          </cell>
          <cell r="B345" t="str">
            <v>SAID MALIK IBRAHIM AL KINDI</v>
          </cell>
        </row>
        <row r="346">
          <cell r="A346" t="str">
            <v>06/G0030</v>
          </cell>
          <cell r="B346" t="str">
            <v>SANDAN PARTNER</v>
          </cell>
        </row>
        <row r="347">
          <cell r="A347" t="str">
            <v>06/G0031</v>
          </cell>
          <cell r="B347" t="str">
            <v>SANDAN PARTNER</v>
          </cell>
        </row>
        <row r="348">
          <cell r="A348" t="str">
            <v>06/G0032</v>
          </cell>
          <cell r="B348" t="str">
            <v>SANDAN PARTNER</v>
          </cell>
        </row>
        <row r="349">
          <cell r="A349" t="str">
            <v>06/G0033</v>
          </cell>
          <cell r="B349" t="str">
            <v>NASR HAMOOD AHMED AL KINDI</v>
          </cell>
        </row>
        <row r="350">
          <cell r="A350" t="str">
            <v>06/G0034</v>
          </cell>
          <cell r="B350" t="str">
            <v>NASR HAMOOD AHMED AL KINDI</v>
          </cell>
        </row>
        <row r="351">
          <cell r="A351" t="str">
            <v>06/G0035</v>
          </cell>
          <cell r="B351" t="str">
            <v>YOUNIS SULAIMAN SALEH AL TOBI</v>
          </cell>
        </row>
        <row r="352">
          <cell r="A352" t="str">
            <v>06/G0036</v>
          </cell>
          <cell r="B352" t="str">
            <v>ASILA SALIM HAMED AL HAJRI</v>
          </cell>
        </row>
        <row r="353">
          <cell r="A353" t="str">
            <v>06/G0037</v>
          </cell>
          <cell r="B353" t="str">
            <v>AISHA SULAIMAN ABOOD AL AZRI</v>
          </cell>
        </row>
        <row r="354">
          <cell r="A354" t="str">
            <v>06/G0038</v>
          </cell>
          <cell r="B354" t="str">
            <v>NASER HARIB MOHAMMED AL SIYABI</v>
          </cell>
        </row>
        <row r="355">
          <cell r="A355" t="str">
            <v>06/G0039</v>
          </cell>
          <cell r="B355" t="str">
            <v>BADAR MOHAMMED RASHID AL MAMARI</v>
          </cell>
        </row>
        <row r="356">
          <cell r="A356" t="str">
            <v>06/G0040</v>
          </cell>
          <cell r="B356" t="str">
            <v>RASHID AHMED HAMOOD AL GHALLABI</v>
          </cell>
        </row>
        <row r="357">
          <cell r="A357" t="str">
            <v>06/G0041</v>
          </cell>
          <cell r="B357" t="str">
            <v>SULAIMAN ALI SALIM AL KHUDHORI</v>
          </cell>
        </row>
        <row r="358">
          <cell r="A358" t="str">
            <v>06/G0042</v>
          </cell>
          <cell r="B358" t="str">
            <v>AMAN REIT</v>
          </cell>
        </row>
        <row r="359">
          <cell r="A359" t="str">
            <v>06/G0043</v>
          </cell>
          <cell r="B359" t="str">
            <v>AMAN REIT</v>
          </cell>
        </row>
        <row r="360">
          <cell r="A360" t="str">
            <v>06/G0044</v>
          </cell>
          <cell r="B360" t="str">
            <v>AMAN REIT</v>
          </cell>
        </row>
        <row r="361">
          <cell r="A361" t="str">
            <v>06/G0045</v>
          </cell>
          <cell r="B361" t="str">
            <v>HAMED SAID SULTAN SALIM ALFLAHI</v>
          </cell>
        </row>
        <row r="362">
          <cell r="A362" t="str">
            <v>06/G0046</v>
          </cell>
          <cell r="B362" t="str">
            <v>AMAN REIT</v>
          </cell>
        </row>
        <row r="363">
          <cell r="A363" t="str">
            <v>06/G0047</v>
          </cell>
          <cell r="B363" t="str">
            <v>Nakhal Ahlia Investment Company SOAC</v>
          </cell>
        </row>
        <row r="364">
          <cell r="A364" t="str">
            <v>06/G0048</v>
          </cell>
          <cell r="B364" t="str">
            <v>Nakhal Ahlia Investment Company SOAC</v>
          </cell>
        </row>
        <row r="365">
          <cell r="A365" t="str">
            <v>06/G0049</v>
          </cell>
          <cell r="B365" t="str">
            <v>AMAN REIT</v>
          </cell>
        </row>
        <row r="366">
          <cell r="A366" t="str">
            <v>06/G0050</v>
          </cell>
          <cell r="B366" t="str">
            <v>AMAN REIT</v>
          </cell>
        </row>
        <row r="367">
          <cell r="A367" t="str">
            <v>06/G0051</v>
          </cell>
          <cell r="B367" t="str">
            <v>RUQAIYA HILAL ABDULLAH AL ABRI</v>
          </cell>
        </row>
        <row r="368">
          <cell r="A368" t="str">
            <v>06/G0052</v>
          </cell>
          <cell r="B368" t="str">
            <v>AISHA ABDULLAH ALI AL KHALILI</v>
          </cell>
        </row>
        <row r="369">
          <cell r="A369" t="str">
            <v>06/G0053</v>
          </cell>
          <cell r="B369" t="str">
            <v>AISHA ABDULLAH ALI AL KHALILI</v>
          </cell>
        </row>
        <row r="370">
          <cell r="A370" t="str">
            <v>06/G0054</v>
          </cell>
          <cell r="B370" t="str">
            <v>OMAR SAIF SAID AL MAMARI</v>
          </cell>
        </row>
        <row r="371">
          <cell r="A371" t="str">
            <v>06/G0055</v>
          </cell>
          <cell r="B371" t="str">
            <v>AMAN REIT</v>
          </cell>
        </row>
        <row r="372">
          <cell r="A372" t="str">
            <v>06/G0056</v>
          </cell>
          <cell r="B372" t="str">
            <v>AMAN REIT</v>
          </cell>
        </row>
        <row r="373">
          <cell r="A373" t="str">
            <v>06/G0057</v>
          </cell>
          <cell r="B373" t="str">
            <v>AMAN REIT</v>
          </cell>
        </row>
        <row r="374">
          <cell r="A374" t="str">
            <v>06/G0058</v>
          </cell>
          <cell r="B374" t="str">
            <v>SANDAN PARTNER</v>
          </cell>
        </row>
        <row r="375">
          <cell r="A375" t="str">
            <v>06/G0059</v>
          </cell>
          <cell r="B375" t="str">
            <v>SANDAN PARTNER</v>
          </cell>
        </row>
        <row r="376">
          <cell r="A376" t="str">
            <v>06/G0060</v>
          </cell>
          <cell r="B376" t="str">
            <v>SALAH ABDULLA HAMOOD AL KINDI</v>
          </cell>
        </row>
        <row r="377">
          <cell r="A377" t="str">
            <v>06/G0061</v>
          </cell>
          <cell r="B377" t="str">
            <v>SALAH ABDULLA HAMOOD AL KINDI</v>
          </cell>
        </row>
        <row r="378">
          <cell r="A378" t="str">
            <v>06/G0062</v>
          </cell>
          <cell r="B378" t="str">
            <v>QAIS ABDULLA HAMOOD AL KINDI</v>
          </cell>
        </row>
        <row r="379">
          <cell r="A379" t="str">
            <v>06/G0063</v>
          </cell>
          <cell r="B379" t="str">
            <v>NASR HAMOOD AHMED AL KINDI</v>
          </cell>
        </row>
        <row r="380">
          <cell r="A380" t="str">
            <v>06/G0064</v>
          </cell>
          <cell r="B380" t="str">
            <v>NASR HAMOOD AHMED AL KINDI</v>
          </cell>
        </row>
        <row r="381">
          <cell r="A381" t="str">
            <v>06/G0065</v>
          </cell>
          <cell r="B381" t="str">
            <v>SANDAN PARTNER</v>
          </cell>
        </row>
        <row r="382">
          <cell r="A382" t="str">
            <v>06/G0066</v>
          </cell>
          <cell r="B382" t="str">
            <v>SANDAN PARTNER</v>
          </cell>
        </row>
        <row r="383">
          <cell r="A383" t="str">
            <v>06/G0067</v>
          </cell>
          <cell r="B383" t="str">
            <v>SANDAN PARTNER</v>
          </cell>
        </row>
        <row r="384">
          <cell r="A384" t="str">
            <v>06/G0068</v>
          </cell>
          <cell r="B384" t="str">
            <v>SAID MALIK IBRAHIM AL KINDI</v>
          </cell>
        </row>
        <row r="385">
          <cell r="A385" t="str">
            <v>06/G0069</v>
          </cell>
          <cell r="B385" t="str">
            <v>YAQOOB SALIM SAID AL  RIYAMI</v>
          </cell>
        </row>
        <row r="386">
          <cell r="A386" t="str">
            <v>06/G0070</v>
          </cell>
          <cell r="B386" t="str">
            <v>RASHA RASHID SAIF AL FAHADI</v>
          </cell>
        </row>
        <row r="387">
          <cell r="A387" t="str">
            <v>06/G0071</v>
          </cell>
          <cell r="B387" t="str">
            <v>MAZIN HAMOOD HUMAID AL TOQI</v>
          </cell>
        </row>
        <row r="388">
          <cell r="A388" t="str">
            <v>06/G0072</v>
          </cell>
          <cell r="B388" t="str">
            <v>SALIM HUMAID MOHAMMED AL BAHRI</v>
          </cell>
        </row>
        <row r="389">
          <cell r="A389" t="str">
            <v>06/G0073</v>
          </cell>
          <cell r="B389" t="str">
            <v>HALIMA SAIF MALIK AL KINDI</v>
          </cell>
        </row>
        <row r="390">
          <cell r="A390" t="str">
            <v>06/G0074</v>
          </cell>
          <cell r="B390" t="str">
            <v>IBRAHIM SAIF MALIK AL KINDI</v>
          </cell>
        </row>
        <row r="391">
          <cell r="A391" t="str">
            <v>06/G0075</v>
          </cell>
          <cell r="B391" t="str">
            <v>IBRAHIM SAIF MALIK AL KINDI</v>
          </cell>
        </row>
        <row r="392">
          <cell r="A392" t="str">
            <v>06/G0076</v>
          </cell>
          <cell r="B392" t="str">
            <v>KHAMIS HAMEED SULIAMAN AL BUSAIDE</v>
          </cell>
        </row>
        <row r="393">
          <cell r="A393" t="str">
            <v>06/G0077</v>
          </cell>
          <cell r="B393" t="str">
            <v>ZAHER ABDULLAH AL HARMALLY</v>
          </cell>
        </row>
        <row r="394">
          <cell r="A394" t="str">
            <v>06/G0078</v>
          </cell>
          <cell r="B394" t="str">
            <v>KHALIFA HAMED ALFARSI</v>
          </cell>
        </row>
        <row r="395">
          <cell r="A395" t="str">
            <v>06/G0079</v>
          </cell>
          <cell r="B395" t="str">
            <v>AFLAH AHMED SULAIMAN AL KINDI</v>
          </cell>
        </row>
        <row r="396">
          <cell r="A396" t="str">
            <v>06/G0080</v>
          </cell>
          <cell r="B396" t="str">
            <v>ABDUL BAQI AHMED SULAIMAN AL KINDI</v>
          </cell>
        </row>
        <row r="397">
          <cell r="A397" t="str">
            <v>06/G0081</v>
          </cell>
          <cell r="B397" t="str">
            <v>OMAR ADIL AL SHARIF</v>
          </cell>
        </row>
        <row r="398">
          <cell r="A398" t="str">
            <v>06/G0082</v>
          </cell>
          <cell r="B398" t="str">
            <v>QAIS MUHAMMED SALEH AL KINDI</v>
          </cell>
        </row>
        <row r="399">
          <cell r="A399" t="str">
            <v>06/G0083</v>
          </cell>
          <cell r="B399" t="str">
            <v>NASSER ABDULLAH NASSER AL YARUBI</v>
          </cell>
        </row>
        <row r="400">
          <cell r="A400" t="str">
            <v>06/G0084</v>
          </cell>
          <cell r="B400" t="str">
            <v>AMAN REIT</v>
          </cell>
        </row>
        <row r="401">
          <cell r="A401" t="str">
            <v>06/G0085</v>
          </cell>
          <cell r="B401" t="str">
            <v>TALAL AM ALROOMI</v>
          </cell>
        </row>
        <row r="402">
          <cell r="A402" t="str">
            <v>06/G0086</v>
          </cell>
          <cell r="B402" t="str">
            <v>TALAL A M ALROOMI</v>
          </cell>
        </row>
        <row r="403">
          <cell r="A403" t="str">
            <v>06/G0087</v>
          </cell>
          <cell r="B403" t="str">
            <v>MOHAMED AHMED HAMED AL KHALILI</v>
          </cell>
        </row>
        <row r="404">
          <cell r="A404" t="str">
            <v>06/G0088</v>
          </cell>
          <cell r="B404" t="str">
            <v>KHALSA AHMED HAMED AL KHALILI</v>
          </cell>
        </row>
        <row r="405">
          <cell r="A405" t="str">
            <v>06/G0089</v>
          </cell>
          <cell r="B405" t="str">
            <v>MAIMOONA MALIK IBRAHIM AL KINDI</v>
          </cell>
        </row>
        <row r="406">
          <cell r="A406" t="str">
            <v>06/G0090</v>
          </cell>
          <cell r="B406" t="str">
            <v>Salim Musalam Ali Al Hashimi</v>
          </cell>
        </row>
        <row r="407">
          <cell r="A407" t="str">
            <v>06/G0091</v>
          </cell>
          <cell r="B407" t="str">
            <v>HUMAID SAIF ALI AL JAHWARI</v>
          </cell>
        </row>
        <row r="408">
          <cell r="A408" t="str">
            <v>06/G0092</v>
          </cell>
          <cell r="B408" t="str">
            <v>RASHID FUADMOHAMED AL SUKAITI</v>
          </cell>
        </row>
        <row r="409">
          <cell r="A409" t="str">
            <v>06/G0093</v>
          </cell>
          <cell r="B409" t="str">
            <v>HAMOOD SAID MOHAMMED AL GHEFEILI</v>
          </cell>
        </row>
        <row r="410">
          <cell r="A410" t="str">
            <v>06/G0094</v>
          </cell>
          <cell r="B410" t="str">
            <v>ISSHAQ YAQOOB NASSER AL NUUMANI</v>
          </cell>
        </row>
        <row r="411">
          <cell r="A411" t="str">
            <v>06/G0095</v>
          </cell>
          <cell r="B411" t="str">
            <v>AHMED ABDULLAH ABDUL RAHMAN AL HUTI</v>
          </cell>
        </row>
        <row r="412">
          <cell r="A412" t="str">
            <v>06/G0096</v>
          </cell>
          <cell r="B412" t="str">
            <v>AMAN REIT</v>
          </cell>
        </row>
        <row r="413">
          <cell r="A413" t="str">
            <v>06/G0097</v>
          </cell>
          <cell r="B413" t="str">
            <v>AMAN REIT</v>
          </cell>
        </row>
        <row r="414">
          <cell r="A414" t="str">
            <v>06/G0098</v>
          </cell>
          <cell r="B414" t="str">
            <v>AMAN REIT</v>
          </cell>
        </row>
        <row r="415">
          <cell r="A415" t="str">
            <v>06/G0099</v>
          </cell>
          <cell r="B415" t="str">
            <v>AMAN REIT</v>
          </cell>
        </row>
        <row r="416">
          <cell r="A416" t="str">
            <v>06/G0100</v>
          </cell>
          <cell r="B416" t="str">
            <v>AMAN REIT</v>
          </cell>
        </row>
        <row r="417">
          <cell r="A417" t="str">
            <v>06/G0102</v>
          </cell>
          <cell r="B417" t="str">
            <v>AMAN REIT</v>
          </cell>
        </row>
        <row r="418">
          <cell r="A418" t="str">
            <v>06/G0193</v>
          </cell>
          <cell r="B418" t="str">
            <v>AMAN REIT</v>
          </cell>
        </row>
        <row r="419">
          <cell r="A419" t="str">
            <v>07/F0101</v>
          </cell>
          <cell r="B419" t="str">
            <v>MASOUD MOHAMED MASOUD AL RIYAMI</v>
          </cell>
        </row>
        <row r="420">
          <cell r="A420" t="str">
            <v>07/F0102</v>
          </cell>
          <cell r="B420" t="str">
            <v>LATIFA SAIF SAID AL WARDI</v>
          </cell>
        </row>
        <row r="421">
          <cell r="A421" t="str">
            <v>07/F0103</v>
          </cell>
          <cell r="B421" t="str">
            <v>MARYAM MALIK IBRAHIM AL KINDI</v>
          </cell>
        </row>
        <row r="422">
          <cell r="A422" t="str">
            <v>07/F0104</v>
          </cell>
          <cell r="B422" t="str">
            <v>BAHLA CHARITY TEAM</v>
          </cell>
        </row>
        <row r="423">
          <cell r="A423" t="str">
            <v>07/F0105</v>
          </cell>
          <cell r="B423" t="str">
            <v>SULAIMAN SAID MOHAMMED AL ZEHEIMI</v>
          </cell>
        </row>
        <row r="424">
          <cell r="A424" t="str">
            <v>07/F0106</v>
          </cell>
          <cell r="B424" t="str">
            <v>SALEH ALI AHMED AL SHUHI</v>
          </cell>
        </row>
        <row r="425">
          <cell r="A425" t="str">
            <v>07/F0107</v>
          </cell>
          <cell r="B425" t="str">
            <v>KHALIL AHMED HAMED HAMED AL KHALILI</v>
          </cell>
        </row>
        <row r="426">
          <cell r="A426" t="str">
            <v>07/F0108</v>
          </cell>
          <cell r="B426" t="str">
            <v>IMAD KHAMIS SUBAITI BAIT SALEEM</v>
          </cell>
        </row>
        <row r="427">
          <cell r="A427" t="str">
            <v>07/F0109</v>
          </cell>
          <cell r="B427" t="str">
            <v>ABDULLAH DAWOOD ABDULLAH AL ZADJALI</v>
          </cell>
        </row>
        <row r="428">
          <cell r="A428" t="str">
            <v>07/F0110</v>
          </cell>
          <cell r="B428" t="str">
            <v>Mohamed Abdullah Mohamed Al Harthy</v>
          </cell>
        </row>
        <row r="429">
          <cell r="A429" t="str">
            <v>07/F0111</v>
          </cell>
          <cell r="B429" t="str">
            <v>AFRA SAID MOHAMMED AL ZUHAIMI</v>
          </cell>
        </row>
        <row r="430">
          <cell r="A430" t="str">
            <v>07/F0112</v>
          </cell>
          <cell r="B430" t="str">
            <v>SAID HAMED SULTAN AL HASHAMI</v>
          </cell>
        </row>
        <row r="431">
          <cell r="A431" t="str">
            <v>07/F0113</v>
          </cell>
          <cell r="B431" t="str">
            <v>MOHAMED KHALIFAN MOHAMED AL HOSNI</v>
          </cell>
        </row>
        <row r="432">
          <cell r="A432" t="str">
            <v>07/F0114</v>
          </cell>
          <cell r="B432" t="str">
            <v>SAUD MANSOOR MOHAMED AL MAZOOEI</v>
          </cell>
        </row>
        <row r="433">
          <cell r="A433" t="str">
            <v>07/F0115</v>
          </cell>
          <cell r="B433" t="str">
            <v>SAUD MANSOOR MOHAMED AL MAZOOEI</v>
          </cell>
        </row>
        <row r="434">
          <cell r="A434" t="str">
            <v>07/F0116</v>
          </cell>
          <cell r="B434" t="str">
            <v>SAUD MANSOOR MOHAMED AL MAZOOEI</v>
          </cell>
        </row>
        <row r="435">
          <cell r="A435" t="str">
            <v>07/F0117</v>
          </cell>
          <cell r="B435" t="str">
            <v>SULTAN RASHID AMUR AL MARHOOBI</v>
          </cell>
        </row>
        <row r="436">
          <cell r="A436" t="str">
            <v>07/F0118</v>
          </cell>
          <cell r="B436" t="str">
            <v>SULTAN RASHID AMUR AL MARHOOBI</v>
          </cell>
        </row>
        <row r="437">
          <cell r="A437" t="str">
            <v>07/F0119</v>
          </cell>
          <cell r="B437" t="str">
            <v>QASIM HUSSEIN ALI AL AJAMI</v>
          </cell>
        </row>
        <row r="438">
          <cell r="A438" t="str">
            <v>07/F0120</v>
          </cell>
          <cell r="B438" t="str">
            <v>MOHAMMED ABDULLAH SULAIMAN AL HAJJI</v>
          </cell>
        </row>
        <row r="439">
          <cell r="A439" t="str">
            <v>07/F0121</v>
          </cell>
          <cell r="B439" t="str">
            <v>AHMED MARHOON AL NAABI</v>
          </cell>
        </row>
        <row r="440">
          <cell r="A440" t="str">
            <v>07/F0122</v>
          </cell>
          <cell r="B440" t="str">
            <v>TALAL SUALIMAN HAMOOD ABDULLAH AL BURASHDI</v>
          </cell>
        </row>
        <row r="441">
          <cell r="A441" t="str">
            <v>07/F0123</v>
          </cell>
          <cell r="B441" t="str">
            <v>HAMDAN SALIM NASSER AL RUQADI</v>
          </cell>
        </row>
        <row r="442">
          <cell r="A442" t="str">
            <v>07/F0124</v>
          </cell>
          <cell r="B442" t="str">
            <v>HAMDAN SALIM NASSER AL RUQADI</v>
          </cell>
        </row>
        <row r="443">
          <cell r="A443" t="str">
            <v>07/F0125</v>
          </cell>
          <cell r="B443" t="str">
            <v>HUSSAIN ALI SIDDIQ AL ZADJALI</v>
          </cell>
        </row>
        <row r="444">
          <cell r="A444" t="str">
            <v>07/F0126</v>
          </cell>
          <cell r="B444" t="str">
            <v>ABDULLATIF ABDULHAMID YAHYA AL KINDI</v>
          </cell>
        </row>
        <row r="445">
          <cell r="A445" t="str">
            <v>07/F0127</v>
          </cell>
          <cell r="B445" t="str">
            <v>ABDULLATIF ABDULHAMID YAHYA AL KINDI</v>
          </cell>
        </row>
        <row r="446">
          <cell r="A446" t="str">
            <v>07/F0128</v>
          </cell>
          <cell r="B446" t="str">
            <v>ABDULLATIF ABDULHAMID YAHYA AL KINDI</v>
          </cell>
        </row>
        <row r="447">
          <cell r="A447" t="str">
            <v>07/F0129</v>
          </cell>
          <cell r="B447" t="str">
            <v>ABDULLATIF ABDULHAMID YAHYA AL KINDI</v>
          </cell>
        </row>
        <row r="448">
          <cell r="A448" t="str">
            <v>07/F0130</v>
          </cell>
          <cell r="B448" t="str">
            <v>ABDULLATIF ABDULHAMID YAHYA AL KINDI</v>
          </cell>
        </row>
        <row r="449">
          <cell r="A449" t="str">
            <v>07/F0131</v>
          </cell>
          <cell r="B449" t="str">
            <v>SAID AHMED AL SHAHRI</v>
          </cell>
        </row>
        <row r="450">
          <cell r="A450" t="str">
            <v>07/F0132</v>
          </cell>
          <cell r="B450" t="str">
            <v>MOHSEN AHMED MOHAMMED AIROON AL SHAHRI</v>
          </cell>
        </row>
        <row r="451">
          <cell r="A451" t="str">
            <v>07/F0133</v>
          </cell>
          <cell r="B451" t="str">
            <v>SAID ABDULLAH ZAHRAN ISSA AL RUMHI</v>
          </cell>
        </row>
        <row r="452">
          <cell r="A452" t="str">
            <v>07/F0134</v>
          </cell>
          <cell r="B452" t="str">
            <v>HALIMA KHALIFA AHMED AL BUSAIDI</v>
          </cell>
        </row>
        <row r="453">
          <cell r="A453" t="str">
            <v>07/F0135</v>
          </cell>
          <cell r="B453" t="str">
            <v>HALIMA KHALIFA AHMED AL BUSAIDI</v>
          </cell>
        </row>
        <row r="454">
          <cell r="A454" t="str">
            <v>07/F0136</v>
          </cell>
          <cell r="B454" t="str">
            <v>HALIMA KHALIFA AHMED AL BUSAIDI</v>
          </cell>
        </row>
        <row r="455">
          <cell r="A455" t="str">
            <v>07/F0137</v>
          </cell>
          <cell r="B455" t="str">
            <v>AMUR KHAMIS AMUR AL RUBAII</v>
          </cell>
        </row>
        <row r="456">
          <cell r="A456" t="str">
            <v>07/F0138</v>
          </cell>
          <cell r="B456" t="str">
            <v>DAD KARIM MOHAMED ABDUL RAHMAN AL ZADJALI</v>
          </cell>
        </row>
        <row r="457">
          <cell r="A457" t="str">
            <v>07/F0139</v>
          </cell>
          <cell r="B457" t="str">
            <v>FAISAL ALI IBRAHIM AL BALUSHI</v>
          </cell>
        </row>
        <row r="458">
          <cell r="A458" t="str">
            <v>07/F0140</v>
          </cell>
          <cell r="B458" t="str">
            <v>MOHAMMED MUSALLEM SALEM AL AMERI</v>
          </cell>
        </row>
        <row r="459">
          <cell r="A459" t="str">
            <v>07/F0141</v>
          </cell>
          <cell r="B459" t="str">
            <v>MOHAMMED MUSALLEM SALEM AL AMERI</v>
          </cell>
        </row>
        <row r="460">
          <cell r="A460" t="str">
            <v>07/F0142</v>
          </cell>
          <cell r="B460" t="str">
            <v>ABDULLAH EID SAIF AMRI</v>
          </cell>
        </row>
        <row r="461">
          <cell r="A461" t="str">
            <v>07/F0143</v>
          </cell>
          <cell r="B461" t="str">
            <v>MAKASIB REAL ESTATE LLC</v>
          </cell>
        </row>
        <row r="462">
          <cell r="A462" t="str">
            <v>07/F0144</v>
          </cell>
          <cell r="B462" t="str">
            <v>BAKER SAIF MOHAMED AL HINAI</v>
          </cell>
        </row>
        <row r="463">
          <cell r="A463" t="str">
            <v>07/F0145</v>
          </cell>
          <cell r="B463" t="str">
            <v>YOUNIS SULAIMAN SALEH AL TOBI</v>
          </cell>
        </row>
        <row r="464">
          <cell r="A464" t="str">
            <v>07/F0146</v>
          </cell>
          <cell r="B464" t="str">
            <v>MAKASIB REAL ESTATE LLC</v>
          </cell>
        </row>
        <row r="465">
          <cell r="A465" t="str">
            <v>07/F0147</v>
          </cell>
          <cell r="B465" t="str">
            <v>RAHMA MOHAMED SALIM AL RAHBI</v>
          </cell>
        </row>
        <row r="466">
          <cell r="A466" t="str">
            <v>07/F0148</v>
          </cell>
          <cell r="B466" t="str">
            <v>AHMED HAMED SAIF ALAAMRI</v>
          </cell>
        </row>
        <row r="467">
          <cell r="A467" t="str">
            <v>07/F0149</v>
          </cell>
          <cell r="B467" t="str">
            <v>KHALID HAMOOD MAJID AL SIYABI</v>
          </cell>
        </row>
        <row r="468">
          <cell r="A468" t="str">
            <v>07/F0150</v>
          </cell>
          <cell r="B468" t="str">
            <v>AMUR MOHAMMED SALIM AL MUSALLAMI</v>
          </cell>
        </row>
        <row r="469">
          <cell r="A469" t="str">
            <v>07/F0151</v>
          </cell>
          <cell r="B469" t="str">
            <v>SALEM HAMDAN AL TAMEMI</v>
          </cell>
        </row>
        <row r="470">
          <cell r="A470" t="str">
            <v>07/F0152</v>
          </cell>
          <cell r="B470" t="str">
            <v>SULTAN ALI SULAIMAN AL RUMHI</v>
          </cell>
        </row>
        <row r="471">
          <cell r="A471" t="str">
            <v>07/F0153</v>
          </cell>
          <cell r="B471" t="str">
            <v>FATHIYA SAID MOHAMMED AL SALMI</v>
          </cell>
        </row>
        <row r="472">
          <cell r="A472" t="str">
            <v>07/F0154</v>
          </cell>
          <cell r="B472" t="str">
            <v>ZAKIYA MALIK IBRAHIM AL KINDI</v>
          </cell>
        </row>
        <row r="473">
          <cell r="A473" t="str">
            <v>07/F0155</v>
          </cell>
          <cell r="B473" t="str">
            <v>Nasser Khamis Saleh Al Harthy</v>
          </cell>
        </row>
        <row r="474">
          <cell r="A474" t="str">
            <v>07/F0156</v>
          </cell>
          <cell r="B474" t="str">
            <v>ALI HASSAN KHAMIS ALAJMI</v>
          </cell>
        </row>
        <row r="475">
          <cell r="A475" t="str">
            <v>07/F0157</v>
          </cell>
          <cell r="B475" t="str">
            <v>YOUSUF NASSER ALHADI</v>
          </cell>
        </row>
        <row r="476">
          <cell r="A476" t="str">
            <v>07/F0158</v>
          </cell>
          <cell r="B476" t="str">
            <v>KHALID AHMED SAID ALRAWAHI</v>
          </cell>
        </row>
        <row r="477">
          <cell r="A477" t="str">
            <v>07/F0159</v>
          </cell>
          <cell r="B477" t="str">
            <v>KHALID AHMED SAID ALRAWAHI</v>
          </cell>
        </row>
        <row r="478">
          <cell r="A478" t="str">
            <v>07/F0160</v>
          </cell>
          <cell r="B478" t="str">
            <v>RASHID SALIM RASHID MOHAMMED AL HASHIMI</v>
          </cell>
        </row>
        <row r="479">
          <cell r="A479" t="str">
            <v>07/F0161</v>
          </cell>
          <cell r="B479" t="str">
            <v>MAKASIB REAL ESTATE LLC</v>
          </cell>
        </row>
        <row r="480">
          <cell r="A480" t="str">
            <v>07/F0162</v>
          </cell>
          <cell r="B480" t="str">
            <v>SARA SALIM MOHAMMED AL MASHRAFI</v>
          </cell>
        </row>
        <row r="481">
          <cell r="A481" t="str">
            <v>07/F0163</v>
          </cell>
          <cell r="B481" t="str">
            <v>TAHIYA HAMED ALI AL KINDI</v>
          </cell>
        </row>
        <row r="482">
          <cell r="A482" t="str">
            <v>07/F0164</v>
          </cell>
          <cell r="B482" t="str">
            <v>MAKASIB REAL ESTATE LLC</v>
          </cell>
        </row>
        <row r="483">
          <cell r="A483" t="str">
            <v>07/F0165</v>
          </cell>
          <cell r="B483" t="str">
            <v>SAQAR MOHAMMED IBRAHIM SALIM AL KALBANI</v>
          </cell>
        </row>
        <row r="484">
          <cell r="A484" t="str">
            <v>07/F0166</v>
          </cell>
          <cell r="B484" t="str">
            <v>HUSSAIN ALI SIDDIQ AL ZADJALI</v>
          </cell>
        </row>
        <row r="485">
          <cell r="A485" t="str">
            <v>07/F0167</v>
          </cell>
          <cell r="B485" t="str">
            <v>MOHAMED ALI ABDULLAH AL RIYAMI</v>
          </cell>
        </row>
        <row r="486">
          <cell r="A486" t="str">
            <v>07/F0168</v>
          </cell>
          <cell r="B486" t="str">
            <v>MOHAMED ALI ABDULLAH AL RIYAMI</v>
          </cell>
        </row>
        <row r="487">
          <cell r="A487" t="str">
            <v>07/F0169</v>
          </cell>
          <cell r="B487" t="str">
            <v>MAKASIB REAL ESTATE LLC</v>
          </cell>
        </row>
        <row r="488">
          <cell r="A488" t="str">
            <v>07/F0170</v>
          </cell>
          <cell r="B488" t="str">
            <v>HASSAN ABDULLAH SAID AL NAABI</v>
          </cell>
        </row>
        <row r="489">
          <cell r="A489" t="str">
            <v>07/F0171</v>
          </cell>
          <cell r="B489" t="str">
            <v>MARWAN ALI AL ZADJALI</v>
          </cell>
        </row>
        <row r="490">
          <cell r="A490" t="str">
            <v>07/F0172</v>
          </cell>
          <cell r="B490" t="str">
            <v>KHALID SAID ALI ALJARADI</v>
          </cell>
        </row>
        <row r="491">
          <cell r="A491" t="str">
            <v>07/F0173</v>
          </cell>
          <cell r="B491" t="str">
            <v>QAIS SALIM ALI AL KHALDI</v>
          </cell>
        </row>
        <row r="492">
          <cell r="A492" t="str">
            <v>07/F0174</v>
          </cell>
          <cell r="B492" t="str">
            <v>ZAYID SALIM SAID AL AMRI</v>
          </cell>
        </row>
        <row r="493">
          <cell r="A493" t="str">
            <v>07/F0175</v>
          </cell>
          <cell r="B493" t="str">
            <v>HAMED MOHAMED SAID  AL HOSNI</v>
          </cell>
        </row>
        <row r="494">
          <cell r="A494" t="str">
            <v>07/F0176</v>
          </cell>
          <cell r="B494" t="str">
            <v>HUSSAM MOHAMMED HAMED AL HABSI</v>
          </cell>
        </row>
        <row r="495">
          <cell r="A495" t="str">
            <v>07/F0177</v>
          </cell>
          <cell r="B495" t="str">
            <v>MAKASIB REAL ESTATE LLC</v>
          </cell>
        </row>
        <row r="496">
          <cell r="A496" t="str">
            <v>07/F0178</v>
          </cell>
          <cell r="B496" t="str">
            <v>MAKASIB REAL ESTATE LLC</v>
          </cell>
        </row>
        <row r="497">
          <cell r="A497" t="str">
            <v>07/F0179</v>
          </cell>
          <cell r="B497" t="str">
            <v>MOHSIN ZAHRAN MOHAMMED AL KINDI</v>
          </cell>
        </row>
        <row r="498">
          <cell r="A498" t="str">
            <v>07/F0180</v>
          </cell>
          <cell r="B498" t="str">
            <v>MOHAMED ABDULLA MOHAMED AL HARTHY</v>
          </cell>
        </row>
        <row r="499">
          <cell r="A499" t="str">
            <v>07/F0181</v>
          </cell>
          <cell r="B499" t="str">
            <v>HAFSA HAMOOD AHMED AL KINDI</v>
          </cell>
        </row>
        <row r="500">
          <cell r="A500" t="str">
            <v>07/F0182</v>
          </cell>
          <cell r="B500" t="str">
            <v>FIDA AHMED MUHANNA AL MUQAIMI</v>
          </cell>
        </row>
        <row r="501">
          <cell r="A501" t="str">
            <v>07/F0183</v>
          </cell>
          <cell r="B501" t="str">
            <v>MAKASIB REAL ESTATE LLC</v>
          </cell>
        </row>
        <row r="502">
          <cell r="A502" t="str">
            <v>07/F0184</v>
          </cell>
          <cell r="B502" t="str">
            <v>Sami Khamis Salim Al Siyabi</v>
          </cell>
        </row>
        <row r="503">
          <cell r="A503" t="str">
            <v>07/F0185</v>
          </cell>
          <cell r="B503" t="str">
            <v>AHMED + KHALFAN AL HINAI</v>
          </cell>
        </row>
        <row r="504">
          <cell r="A504" t="str">
            <v>07/F0186</v>
          </cell>
          <cell r="B504" t="str">
            <v>NASSER MOHAMED KHALIFA AL BUSAIDI</v>
          </cell>
        </row>
        <row r="505">
          <cell r="A505" t="str">
            <v>07/F0187</v>
          </cell>
          <cell r="B505" t="str">
            <v>SAIF KHALIFA SALIM AL KHAMISI</v>
          </cell>
        </row>
        <row r="506">
          <cell r="A506" t="str">
            <v>07/F0188</v>
          </cell>
          <cell r="B506" t="str">
            <v>MAGEUOTH NEW INVESTMENT AND TRADING</v>
          </cell>
        </row>
        <row r="507">
          <cell r="A507" t="str">
            <v>07/G0001</v>
          </cell>
          <cell r="B507" t="str">
            <v>MAQBOUL ABDULLHOUSIN MOHAMMED AL AJMI</v>
          </cell>
        </row>
        <row r="508">
          <cell r="A508" t="str">
            <v>07/G0002</v>
          </cell>
          <cell r="B508" t="str">
            <v>FATMA MOHAMED MOHAMED ALI AL SALEH</v>
          </cell>
        </row>
        <row r="509">
          <cell r="A509" t="str">
            <v>07/G0003</v>
          </cell>
          <cell r="B509" t="str">
            <v>ARIF HUMAID HAMED AL HUBAISHI</v>
          </cell>
        </row>
        <row r="510">
          <cell r="A510" t="str">
            <v>07/G0004</v>
          </cell>
          <cell r="B510" t="str">
            <v>ARIF HUMAID HAMED AL HUBAISHI</v>
          </cell>
        </row>
        <row r="511">
          <cell r="A511" t="str">
            <v>07/G0005</v>
          </cell>
          <cell r="B511" t="str">
            <v>AOWN ABBAS ABDULLAH AL BAHRANI</v>
          </cell>
        </row>
        <row r="512">
          <cell r="A512" t="str">
            <v>07/G0006</v>
          </cell>
          <cell r="B512" t="str">
            <v>ABDULRAZAK ABDULKADER AL SHAHWARAZI</v>
          </cell>
        </row>
        <row r="513">
          <cell r="A513" t="str">
            <v>07/G0007</v>
          </cell>
          <cell r="B513" t="str">
            <v>Asila Saif Khalaf Al Kharusi</v>
          </cell>
        </row>
        <row r="514">
          <cell r="A514" t="str">
            <v>07/G0008</v>
          </cell>
          <cell r="B514" t="str">
            <v>MOHAMED ABDULLAH MOHAMED AL BUSIDI</v>
          </cell>
        </row>
        <row r="515">
          <cell r="A515" t="str">
            <v>07/G0009</v>
          </cell>
          <cell r="B515" t="str">
            <v>MOHAMED ABDULLAH MOHAMED AL BUSIDI</v>
          </cell>
        </row>
        <row r="516">
          <cell r="A516" t="str">
            <v>07/G0010</v>
          </cell>
          <cell r="B516" t="str">
            <v>MOHAMED ABDULLAH MOHAMED AL BUSIDI</v>
          </cell>
        </row>
        <row r="517">
          <cell r="A517" t="str">
            <v>07/G0011</v>
          </cell>
          <cell r="B517" t="str">
            <v>WALEED HAMED MOHAMMED AL MAMARI</v>
          </cell>
        </row>
        <row r="518">
          <cell r="A518" t="str">
            <v>07/G0012</v>
          </cell>
          <cell r="B518" t="str">
            <v>AMIRA NASSER MOHAMMED AL MAAMARI</v>
          </cell>
        </row>
        <row r="519">
          <cell r="A519" t="str">
            <v>07/G0013</v>
          </cell>
          <cell r="B519" t="str">
            <v>AMAN REIT</v>
          </cell>
        </row>
        <row r="520">
          <cell r="A520" t="str">
            <v>07/G0014</v>
          </cell>
          <cell r="B520" t="str">
            <v>SAUD ABDULLA MOHAMMED AL AGHBARI</v>
          </cell>
        </row>
        <row r="521">
          <cell r="A521" t="str">
            <v>07/G0015</v>
          </cell>
          <cell r="B521" t="str">
            <v>AMAN REIT</v>
          </cell>
        </row>
        <row r="522">
          <cell r="A522" t="str">
            <v>07/G0016</v>
          </cell>
          <cell r="B522" t="str">
            <v>AMAN REIT</v>
          </cell>
        </row>
        <row r="523">
          <cell r="A523" t="str">
            <v>07/G0017</v>
          </cell>
          <cell r="B523" t="str">
            <v>KHALIL AHMED HAMED HAMED AL KHALILI</v>
          </cell>
        </row>
        <row r="524">
          <cell r="A524" t="str">
            <v>07/G0018</v>
          </cell>
          <cell r="B524" t="str">
            <v>Nakhal Ahlia Investment Company SOAC</v>
          </cell>
        </row>
        <row r="525">
          <cell r="A525" t="str">
            <v>07/G0019</v>
          </cell>
          <cell r="B525" t="str">
            <v>Nakhal Ahlia Investment Company SOAC</v>
          </cell>
        </row>
        <row r="526">
          <cell r="A526" t="str">
            <v>07/G0020</v>
          </cell>
          <cell r="B526" t="str">
            <v>RASHID FUADMOHAMED AL SUKAITI</v>
          </cell>
        </row>
        <row r="527">
          <cell r="A527" t="str">
            <v>07/G0021</v>
          </cell>
          <cell r="B527" t="str">
            <v>NASSER SULAIMAN MOHAMMED AL KINDI</v>
          </cell>
        </row>
        <row r="528">
          <cell r="A528" t="str">
            <v>07/G0022</v>
          </cell>
          <cell r="B528" t="str">
            <v>MOHAMED SHAMIS MOHAMED AL SIYABI</v>
          </cell>
        </row>
        <row r="529">
          <cell r="A529" t="str">
            <v>07/G0023</v>
          </cell>
          <cell r="B529" t="str">
            <v>HAMED NASSER AL AWFI</v>
          </cell>
        </row>
        <row r="530">
          <cell r="A530" t="str">
            <v>07/G0024</v>
          </cell>
          <cell r="B530" t="str">
            <v>HUSSAIN ALI SIDDIQ AL ZADJALI</v>
          </cell>
        </row>
        <row r="531">
          <cell r="A531" t="str">
            <v>07/G0025</v>
          </cell>
          <cell r="B531" t="str">
            <v>HUSSAIN ALI SIDDIQ AL ZADJALI</v>
          </cell>
        </row>
        <row r="532">
          <cell r="A532" t="str">
            <v>07/G0026</v>
          </cell>
          <cell r="B532" t="str">
            <v>ABDULLATIF ABDULHAMID YAHYA AL KINDI</v>
          </cell>
        </row>
        <row r="533">
          <cell r="A533" t="str">
            <v>07/G0027</v>
          </cell>
          <cell r="B533" t="str">
            <v>ABDULLATIF ABDULHAMID YAHYA AL KINDI</v>
          </cell>
        </row>
        <row r="534">
          <cell r="A534" t="str">
            <v>07/G0028</v>
          </cell>
          <cell r="B534" t="str">
            <v>ABDULLATIF ABDULHAMID YAHYA AL KINDI</v>
          </cell>
        </row>
        <row r="535">
          <cell r="A535" t="str">
            <v>07/G0029</v>
          </cell>
          <cell r="B535" t="str">
            <v>IBRAHIM MOHAMMED AHMED AL HARTHI</v>
          </cell>
        </row>
        <row r="536">
          <cell r="A536" t="str">
            <v>07/G0030</v>
          </cell>
          <cell r="B536" t="str">
            <v>IBRAHIM MOHAMMED AHMED AL HARTHI</v>
          </cell>
        </row>
        <row r="537">
          <cell r="A537" t="str">
            <v>07/G0031</v>
          </cell>
          <cell r="B537" t="str">
            <v>AMAN REIT</v>
          </cell>
        </row>
        <row r="538">
          <cell r="A538" t="str">
            <v>07/G0032</v>
          </cell>
          <cell r="B538" t="str">
            <v>AMAN REIT</v>
          </cell>
        </row>
        <row r="539">
          <cell r="A539" t="str">
            <v>07/G0033</v>
          </cell>
          <cell r="B539" t="str">
            <v>AMAN REIT</v>
          </cell>
        </row>
        <row r="540">
          <cell r="A540" t="str">
            <v>07/G0034</v>
          </cell>
          <cell r="B540" t="str">
            <v>AMAN REIT</v>
          </cell>
        </row>
        <row r="541">
          <cell r="A541" t="str">
            <v>07/G0035</v>
          </cell>
          <cell r="B541" t="str">
            <v>SULT RASHID AL KHARUSI</v>
          </cell>
        </row>
        <row r="542">
          <cell r="A542" t="str">
            <v>07/G0036</v>
          </cell>
          <cell r="B542" t="str">
            <v>SALIM JUMA AL KATRI</v>
          </cell>
        </row>
        <row r="543">
          <cell r="A543" t="str">
            <v>07/G0037</v>
          </cell>
          <cell r="B543" t="str">
            <v>HAITHAM SALIM AL HADHRAMI</v>
          </cell>
        </row>
        <row r="544">
          <cell r="A544" t="str">
            <v>07/G0038</v>
          </cell>
          <cell r="B544" t="str">
            <v>TARAQ ATIQ</v>
          </cell>
        </row>
        <row r="545">
          <cell r="A545" t="str">
            <v>07/G0039</v>
          </cell>
          <cell r="B545" t="str">
            <v>TALAL ABDUL HAMEED SULAIMAN AL ZADJALI</v>
          </cell>
        </row>
        <row r="546">
          <cell r="A546" t="str">
            <v>07/G0040</v>
          </cell>
          <cell r="B546" t="str">
            <v>AMAN REIT</v>
          </cell>
        </row>
        <row r="547">
          <cell r="A547" t="str">
            <v>07/G0041</v>
          </cell>
          <cell r="B547" t="str">
            <v>ILHAM MURTADHA HABIB AL HAMAID</v>
          </cell>
        </row>
        <row r="548">
          <cell r="A548" t="str">
            <v>07/G0042</v>
          </cell>
          <cell r="B548" t="str">
            <v>ABDULATIF JUMA SHAMBEH AL ZEDJALI</v>
          </cell>
        </row>
        <row r="549">
          <cell r="A549" t="str">
            <v>07/G0043</v>
          </cell>
          <cell r="B549" t="str">
            <v>OTHMAN KHAMIS SAID AL MAJAALI</v>
          </cell>
        </row>
        <row r="550">
          <cell r="A550" t="str">
            <v>07/G0044</v>
          </cell>
          <cell r="B550" t="str">
            <v>MANSOOR SALIM HAMED AL ALAWI</v>
          </cell>
        </row>
        <row r="551">
          <cell r="A551" t="str">
            <v>07/G0045</v>
          </cell>
          <cell r="B551" t="str">
            <v>MANAL ABDUL SAMAD MOHAMED AL BALUSHI</v>
          </cell>
        </row>
        <row r="552">
          <cell r="A552" t="str">
            <v>07/G0046</v>
          </cell>
          <cell r="B552" t="str">
            <v>AMAN REIT</v>
          </cell>
        </row>
        <row r="553">
          <cell r="A553" t="str">
            <v>07/G0047</v>
          </cell>
          <cell r="B553" t="str">
            <v>AMAN REIT</v>
          </cell>
        </row>
        <row r="554">
          <cell r="A554" t="str">
            <v>07/G0048</v>
          </cell>
          <cell r="B554" t="str">
            <v>AMAN REIT</v>
          </cell>
        </row>
        <row r="555">
          <cell r="A555" t="str">
            <v>07/G0049</v>
          </cell>
          <cell r="B555" t="str">
            <v>AMAN REIT</v>
          </cell>
        </row>
        <row r="556">
          <cell r="A556" t="str">
            <v>07/G0050</v>
          </cell>
          <cell r="B556" t="str">
            <v>NASSER HAMOOD AHMED AL RASHDI</v>
          </cell>
        </row>
        <row r="557">
          <cell r="A557" t="str">
            <v>07/G0051</v>
          </cell>
          <cell r="B557" t="str">
            <v>SAID ZAHER HAMED AL ABRI</v>
          </cell>
        </row>
        <row r="558">
          <cell r="A558" t="str">
            <v>07/G0052</v>
          </cell>
          <cell r="B558" t="str">
            <v>MOHAMMED AHMED AL HABSI</v>
          </cell>
        </row>
        <row r="559">
          <cell r="A559" t="str">
            <v>07/G0053</v>
          </cell>
          <cell r="B559" t="str">
            <v>KHALIFA SAID SALIM AL ABRI</v>
          </cell>
        </row>
        <row r="560">
          <cell r="A560" t="str">
            <v>07/G0054</v>
          </cell>
          <cell r="B560" t="str">
            <v>AHMED HAMED SAIF ALAAMRI</v>
          </cell>
        </row>
        <row r="561">
          <cell r="A561" t="str">
            <v>07/G0055</v>
          </cell>
          <cell r="B561" t="str">
            <v>AMAN REIT</v>
          </cell>
        </row>
        <row r="562">
          <cell r="A562" t="str">
            <v>07/G0056</v>
          </cell>
          <cell r="B562" t="str">
            <v>SALEM HAMDAN AL TAMEMI</v>
          </cell>
        </row>
        <row r="563">
          <cell r="A563" t="str">
            <v>07/G0057</v>
          </cell>
          <cell r="B563" t="str">
            <v>TARAQ ATIQ</v>
          </cell>
        </row>
        <row r="564">
          <cell r="A564" t="str">
            <v>07/G0058</v>
          </cell>
          <cell r="B564" t="str">
            <v>ABDULLAH EID SAIF AMRI</v>
          </cell>
        </row>
        <row r="565">
          <cell r="A565" t="str">
            <v>07/G0059</v>
          </cell>
          <cell r="B565" t="str">
            <v>AMAN REIT</v>
          </cell>
        </row>
        <row r="566">
          <cell r="A566" t="str">
            <v>07/G0060</v>
          </cell>
          <cell r="B566" t="str">
            <v>WAIL NASSER SULAIMAN AL SHIBANI</v>
          </cell>
        </row>
        <row r="567">
          <cell r="A567" t="str">
            <v>07/G0061</v>
          </cell>
          <cell r="B567" t="str">
            <v>SAID HAMOOD HUMAID AL AAMRI</v>
          </cell>
        </row>
        <row r="568">
          <cell r="A568" t="str">
            <v>07/G0062</v>
          </cell>
          <cell r="B568" t="str">
            <v>AMAN REIT</v>
          </cell>
        </row>
        <row r="569">
          <cell r="A569" t="str">
            <v>07/G0063</v>
          </cell>
          <cell r="B569" t="str">
            <v>AMAN REIT</v>
          </cell>
        </row>
        <row r="570">
          <cell r="A570" t="str">
            <v>07/G0064</v>
          </cell>
          <cell r="B570" t="str">
            <v>Nakhal Ahlia Investment Company SOAC</v>
          </cell>
        </row>
        <row r="571">
          <cell r="A571" t="str">
            <v>07/G0065</v>
          </cell>
          <cell r="B571" t="str">
            <v>Nakhal Ahlia Investment Company SOAC</v>
          </cell>
        </row>
        <row r="572">
          <cell r="A572" t="str">
            <v>07/G0066</v>
          </cell>
          <cell r="B572" t="str">
            <v>NAJIB MAHFOODH AL HADDABI</v>
          </cell>
        </row>
        <row r="573">
          <cell r="A573" t="str">
            <v>07/G0067</v>
          </cell>
          <cell r="B573" t="str">
            <v>KHALID AMEER ABDULLAH AL MAWALI</v>
          </cell>
        </row>
        <row r="574">
          <cell r="A574" t="str">
            <v>07/G0068</v>
          </cell>
          <cell r="B574" t="str">
            <v>KHALID SAID ALI ALJARADI</v>
          </cell>
        </row>
        <row r="575">
          <cell r="A575" t="str">
            <v>07/G0069</v>
          </cell>
          <cell r="B575" t="str">
            <v>HOOD RASHID SAID AL ABRI</v>
          </cell>
        </row>
        <row r="576">
          <cell r="A576" t="str">
            <v>07/G0070</v>
          </cell>
          <cell r="B576" t="str">
            <v>HUSSAIN ALI SIDDIQ AL ZADJALI</v>
          </cell>
        </row>
        <row r="577">
          <cell r="A577" t="str">
            <v>07/G0071</v>
          </cell>
          <cell r="B577" t="str">
            <v>HUSSAIN ALI SIDDIQ AL ZADJALI</v>
          </cell>
        </row>
        <row r="578">
          <cell r="A578" t="str">
            <v>07/G0072</v>
          </cell>
          <cell r="B578" t="str">
            <v>HUSAIN ALI SIDDEEQ AL ZADJALI</v>
          </cell>
        </row>
        <row r="579">
          <cell r="A579" t="str">
            <v>07/G0073</v>
          </cell>
          <cell r="B579" t="str">
            <v>AMAN REIT</v>
          </cell>
        </row>
        <row r="580">
          <cell r="A580" t="str">
            <v>07/G0074</v>
          </cell>
          <cell r="B580" t="str">
            <v>DAWOOD SULAIMAN ABDULLAH AL LUWAIHI</v>
          </cell>
        </row>
        <row r="581">
          <cell r="A581" t="str">
            <v>07/G0075</v>
          </cell>
          <cell r="B581" t="str">
            <v>DAWOOD SULAIMAN ABDULLAH AL LUWAIHI</v>
          </cell>
        </row>
        <row r="582">
          <cell r="A582" t="str">
            <v>07/G0076</v>
          </cell>
          <cell r="B582" t="str">
            <v>FATHIYA SAID MOHAMMED AL SALMI</v>
          </cell>
        </row>
        <row r="583">
          <cell r="A583" t="str">
            <v>07/G0077</v>
          </cell>
          <cell r="B583" t="str">
            <v>RAHMA MALIK IBRAHIM AL KINDI</v>
          </cell>
        </row>
        <row r="584">
          <cell r="A584" t="str">
            <v>07/G0078</v>
          </cell>
          <cell r="B584" t="str">
            <v>ALI QASIM MOHAMMED AL LAWATI</v>
          </cell>
        </row>
        <row r="585">
          <cell r="A585" t="str">
            <v>07/G0079</v>
          </cell>
          <cell r="B585" t="str">
            <v>SABIH SALIM SAID AL HARTHI</v>
          </cell>
        </row>
        <row r="586">
          <cell r="A586" t="str">
            <v>07/G0080</v>
          </cell>
          <cell r="B586" t="str">
            <v>SULTAN ALI AL MAMARI</v>
          </cell>
        </row>
        <row r="587">
          <cell r="A587" t="str">
            <v>07/G0081</v>
          </cell>
          <cell r="B587" t="str">
            <v>AMAN REIT</v>
          </cell>
        </row>
        <row r="588">
          <cell r="A588" t="str">
            <v>07/G0082</v>
          </cell>
          <cell r="B588" t="str">
            <v>AMAN REIT</v>
          </cell>
        </row>
        <row r="589">
          <cell r="A589" t="str">
            <v>07/G0083</v>
          </cell>
          <cell r="B589" t="str">
            <v>KHULOOD MUSTAFA ABDUL KHALIQ</v>
          </cell>
        </row>
        <row r="590">
          <cell r="A590" t="str">
            <v>07/G0084</v>
          </cell>
          <cell r="B590" t="str">
            <v>ABDULAZIZ AHMED SAIF AL RAWAHI</v>
          </cell>
        </row>
        <row r="591">
          <cell r="A591" t="str">
            <v>07/G0085</v>
          </cell>
          <cell r="B591" t="str">
            <v>AHMED KHAMIS ABDULLAH AL HASHIMI</v>
          </cell>
        </row>
        <row r="592">
          <cell r="A592" t="str">
            <v>07/G0086</v>
          </cell>
          <cell r="B592" t="str">
            <v>NASRA HAMED NASSER AL HAJRI</v>
          </cell>
        </row>
        <row r="593">
          <cell r="A593" t="str">
            <v>07/G0087</v>
          </cell>
          <cell r="B593" t="str">
            <v>AMAN REIT</v>
          </cell>
        </row>
        <row r="594">
          <cell r="A594" t="str">
            <v>07/G0088</v>
          </cell>
          <cell r="B594" t="str">
            <v>Aisha Abdullah Sultan Al Naamani</v>
          </cell>
        </row>
        <row r="595">
          <cell r="A595" t="str">
            <v>07/G0089</v>
          </cell>
          <cell r="B595" t="str">
            <v>AMAN REIT</v>
          </cell>
        </row>
        <row r="596">
          <cell r="A596" t="str">
            <v>07/G0090</v>
          </cell>
          <cell r="B596" t="str">
            <v>KIDHEIYA SAIF NASSER AL MAHRUQI</v>
          </cell>
        </row>
        <row r="597">
          <cell r="A597" t="str">
            <v>07/G0091</v>
          </cell>
          <cell r="B597" t="str">
            <v>NASSER MOHAMED KHALIFA AL BUSAIDI</v>
          </cell>
        </row>
        <row r="598">
          <cell r="A598" t="str">
            <v>07/G0092</v>
          </cell>
          <cell r="B598" t="str">
            <v>AMAN REIT</v>
          </cell>
        </row>
        <row r="599">
          <cell r="A599" t="str">
            <v>07/G0093</v>
          </cell>
          <cell r="B599" t="str">
            <v>SAID YAHYA MOHAMED AL SARMI</v>
          </cell>
        </row>
        <row r="600">
          <cell r="A600" t="str">
            <v>07/G0094</v>
          </cell>
          <cell r="B600" t="str">
            <v>MUBARAK KHAMIS AL BALUSHI</v>
          </cell>
        </row>
        <row r="601">
          <cell r="A601" t="str">
            <v>07/G0096</v>
          </cell>
          <cell r="B601" t="str">
            <v>AMAN REIT</v>
          </cell>
        </row>
        <row r="602">
          <cell r="A602" t="str">
            <v>07/G0097</v>
          </cell>
          <cell r="B602" t="str">
            <v>AMAN REIT</v>
          </cell>
        </row>
        <row r="603">
          <cell r="A603" t="str">
            <v>07/G0098</v>
          </cell>
          <cell r="B603" t="str">
            <v>AMAN REIT</v>
          </cell>
        </row>
        <row r="604">
          <cell r="A604" t="str">
            <v>07/G0103</v>
          </cell>
          <cell r="B604" t="str">
            <v>AMAN REIT</v>
          </cell>
        </row>
        <row r="605">
          <cell r="A605" t="str">
            <v>07/G0104</v>
          </cell>
          <cell r="B605" t="str">
            <v>AMAN REIT</v>
          </cell>
        </row>
        <row r="606">
          <cell r="A606" t="str">
            <v>08/F0101</v>
          </cell>
          <cell r="B606" t="str">
            <v>FATHIYA MAHFOODH YAQOOB AL NAABI</v>
          </cell>
        </row>
        <row r="607">
          <cell r="A607" t="str">
            <v>08/F0102</v>
          </cell>
          <cell r="B607" t="str">
            <v>AZZA MATER MOHAMED AL WAHAIBI</v>
          </cell>
        </row>
        <row r="608">
          <cell r="A608" t="str">
            <v>08/F0103</v>
          </cell>
          <cell r="B608" t="str">
            <v>AHMED KHAMIS SALIM AL MUKHAINI</v>
          </cell>
        </row>
        <row r="609">
          <cell r="A609" t="str">
            <v>08/F0104</v>
          </cell>
          <cell r="B609" t="str">
            <v>ABDULLAH HILAL ABDULLAH AL RASHDI</v>
          </cell>
        </row>
        <row r="610">
          <cell r="A610" t="str">
            <v>08/F0105</v>
          </cell>
          <cell r="B610" t="str">
            <v>KHALFAN SALIM SAUD AL HABSI</v>
          </cell>
        </row>
        <row r="611">
          <cell r="A611" t="str">
            <v>08/F0106</v>
          </cell>
          <cell r="B611" t="str">
            <v>MAKASIB REAL ESTATE LLC</v>
          </cell>
        </row>
        <row r="612">
          <cell r="A612" t="str">
            <v>08/F0107</v>
          </cell>
          <cell r="B612" t="str">
            <v>MAKASIB REAL ESTATE LLC</v>
          </cell>
        </row>
        <row r="613">
          <cell r="A613" t="str">
            <v>08/F0108</v>
          </cell>
          <cell r="B613" t="str">
            <v>ARIF HUMAID HAMED AL HUBAISHI</v>
          </cell>
        </row>
        <row r="614">
          <cell r="A614" t="str">
            <v>08/F0109</v>
          </cell>
          <cell r="B614" t="str">
            <v>MAKASIB REAL ESTATE LLC</v>
          </cell>
        </row>
        <row r="615">
          <cell r="A615" t="str">
            <v>08/F0110</v>
          </cell>
          <cell r="B615" t="str">
            <v>SANDAN PARTNER</v>
          </cell>
        </row>
        <row r="616">
          <cell r="A616" t="str">
            <v>08/F0111</v>
          </cell>
          <cell r="B616" t="str">
            <v>Nakhal Ahlia Investment Company SOAC</v>
          </cell>
        </row>
        <row r="617">
          <cell r="A617" t="str">
            <v>08/F0112</v>
          </cell>
          <cell r="B617" t="str">
            <v>Nakhal Ahlia Investment Company SOAC</v>
          </cell>
        </row>
        <row r="618">
          <cell r="A618" t="str">
            <v>08/F0113</v>
          </cell>
          <cell r="B618" t="str">
            <v>THURAYA MALIK IBRAHIM AL KINDI</v>
          </cell>
        </row>
        <row r="619">
          <cell r="A619" t="str">
            <v>08/F0114</v>
          </cell>
          <cell r="B619" t="str">
            <v>QAIS MALIK IBRAHIM AL KINDI</v>
          </cell>
        </row>
        <row r="620">
          <cell r="A620" t="str">
            <v>08/F0115</v>
          </cell>
          <cell r="B620" t="str">
            <v>RASHEED MUBARAK SAID AL FORI</v>
          </cell>
        </row>
        <row r="621">
          <cell r="A621" t="str">
            <v>08/F0116</v>
          </cell>
          <cell r="B621" t="str">
            <v>SHAMSA AL GHASSANI</v>
          </cell>
        </row>
        <row r="622">
          <cell r="A622" t="str">
            <v>08/F0117</v>
          </cell>
          <cell r="B622" t="str">
            <v>AL SAYYIDA RAIYA ABDULLAH HAMED AL BU</v>
          </cell>
        </row>
        <row r="623">
          <cell r="A623" t="str">
            <v>08/F0118</v>
          </cell>
          <cell r="B623" t="str">
            <v>SANDAN PARTNER</v>
          </cell>
        </row>
        <row r="624">
          <cell r="A624" t="str">
            <v>08/F0119</v>
          </cell>
          <cell r="B624" t="str">
            <v>SALIM HAMED SAIF AL SUKAITI</v>
          </cell>
        </row>
        <row r="625">
          <cell r="A625" t="str">
            <v>08/F0120</v>
          </cell>
          <cell r="B625" t="str">
            <v>HAMED MOHAMED SAID  AL HOSNI</v>
          </cell>
        </row>
        <row r="626">
          <cell r="A626" t="str">
            <v>08/F0121</v>
          </cell>
          <cell r="B626" t="str">
            <v>MOHAMED ALI ABDULLAH AL RIYAMI</v>
          </cell>
        </row>
        <row r="627">
          <cell r="A627" t="str">
            <v>08/F0122</v>
          </cell>
          <cell r="B627" t="str">
            <v>SULAIMAN AMUR SULAIMAN ALHARTHY</v>
          </cell>
        </row>
        <row r="628">
          <cell r="A628" t="str">
            <v>08/F0123</v>
          </cell>
          <cell r="B628" t="str">
            <v>AMOUR SULAIMAN AMOUR AL HARTHI</v>
          </cell>
        </row>
        <row r="629">
          <cell r="A629" t="str">
            <v>08/F0124</v>
          </cell>
          <cell r="B629" t="str">
            <v>ADIL SHABAN AL DHAD AL AASI</v>
          </cell>
        </row>
        <row r="630">
          <cell r="A630" t="str">
            <v>08/F0125</v>
          </cell>
          <cell r="B630" t="str">
            <v>MAKASIB REAL ESTATE LLC</v>
          </cell>
        </row>
        <row r="631">
          <cell r="A631" t="str">
            <v>08/F0126</v>
          </cell>
          <cell r="B631" t="str">
            <v>MAKASIB REAL ESTATE LLC</v>
          </cell>
        </row>
        <row r="632">
          <cell r="A632" t="str">
            <v>08/F0127</v>
          </cell>
          <cell r="B632" t="str">
            <v>SINAN HAMED SINAN AL SULEIMANI</v>
          </cell>
        </row>
        <row r="633">
          <cell r="A633" t="str">
            <v>08/F0128</v>
          </cell>
          <cell r="B633" t="str">
            <v>Nakhal Ahlia Investment Company SOAC</v>
          </cell>
        </row>
        <row r="634">
          <cell r="A634" t="str">
            <v>08/F0129</v>
          </cell>
          <cell r="B634" t="str">
            <v>Nakhal Ahlia Investment Company SOAC</v>
          </cell>
        </row>
        <row r="635">
          <cell r="A635" t="str">
            <v>08/F0130</v>
          </cell>
          <cell r="B635" t="str">
            <v>Nakhal Ahlia Investment Company SOAC</v>
          </cell>
        </row>
        <row r="636">
          <cell r="A636" t="str">
            <v>08/F0131</v>
          </cell>
          <cell r="B636" t="str">
            <v>Nakhal Ahlia Investment Company SOAC</v>
          </cell>
        </row>
        <row r="637">
          <cell r="A637" t="str">
            <v>08/F0132</v>
          </cell>
          <cell r="B637" t="str">
            <v>Nakhal Ahlia Investment Company SOAC</v>
          </cell>
        </row>
        <row r="638">
          <cell r="A638" t="str">
            <v>08/F0133</v>
          </cell>
          <cell r="B638" t="str">
            <v>Nakhal Ahlia Investment Company SOAC</v>
          </cell>
        </row>
        <row r="639">
          <cell r="A639" t="str">
            <v>08/F0134</v>
          </cell>
          <cell r="B639" t="str">
            <v>SAID SAIF NASSER AL JABRI</v>
          </cell>
        </row>
        <row r="640">
          <cell r="A640" t="str">
            <v>08/F0135</v>
          </cell>
          <cell r="B640" t="str">
            <v>MAKASIB REAL ESTATE LLC</v>
          </cell>
        </row>
        <row r="641">
          <cell r="A641" t="str">
            <v>08/F0136</v>
          </cell>
          <cell r="B641" t="str">
            <v>RAHMA MOHAMED SALIM AL RAHBI</v>
          </cell>
        </row>
        <row r="642">
          <cell r="A642" t="str">
            <v>08/F0137</v>
          </cell>
          <cell r="B642" t="str">
            <v>Khadija Hamed Abdullah Al Habsi</v>
          </cell>
        </row>
        <row r="643">
          <cell r="A643" t="str">
            <v>08/F0138</v>
          </cell>
          <cell r="B643" t="str">
            <v>MAKASIB REAL ESTATE LLC</v>
          </cell>
        </row>
        <row r="644">
          <cell r="A644" t="str">
            <v>08/F0139</v>
          </cell>
          <cell r="B644" t="str">
            <v>MAKASIB REAL ESTATE LLC</v>
          </cell>
        </row>
        <row r="645">
          <cell r="A645" t="str">
            <v>08/F0140</v>
          </cell>
          <cell r="B645" t="str">
            <v>MAKASIB REAL ESTATE LLC</v>
          </cell>
        </row>
        <row r="646">
          <cell r="A646" t="str">
            <v>08/F0141</v>
          </cell>
          <cell r="B646" t="str">
            <v>MAKASIB REAL ESTATE LLC</v>
          </cell>
        </row>
        <row r="647">
          <cell r="A647" t="str">
            <v>08/F0142</v>
          </cell>
          <cell r="B647" t="str">
            <v>MAKASIB REAL ESTATE LLC</v>
          </cell>
        </row>
        <row r="648">
          <cell r="A648" t="str">
            <v>08/F0143</v>
          </cell>
          <cell r="B648" t="str">
            <v>MOHAMED SAID SALIM AL GHAFRI</v>
          </cell>
        </row>
        <row r="649">
          <cell r="A649" t="str">
            <v>08/F0144</v>
          </cell>
          <cell r="B649" t="str">
            <v>SULTAN NASSER SAID AL OFI</v>
          </cell>
        </row>
        <row r="650">
          <cell r="A650" t="str">
            <v>08/F0145</v>
          </cell>
          <cell r="B650" t="str">
            <v>SANDAN PARTNER</v>
          </cell>
        </row>
        <row r="651">
          <cell r="A651" t="str">
            <v>08/F0146</v>
          </cell>
          <cell r="B651" t="str">
            <v>MARIYAM AL RIYAMI</v>
          </cell>
        </row>
        <row r="652">
          <cell r="A652" t="str">
            <v>08/F0147</v>
          </cell>
          <cell r="B652" t="str">
            <v>TAHIRA ABDUL RAHIM HUSSAIN FEELY</v>
          </cell>
        </row>
        <row r="653">
          <cell r="A653" t="str">
            <v>08/F0148</v>
          </cell>
          <cell r="B653" t="str">
            <v>KHALID SAIF ABDULLAH AL REESI</v>
          </cell>
        </row>
        <row r="654">
          <cell r="A654" t="str">
            <v>08/F0149</v>
          </cell>
          <cell r="B654" t="str">
            <v>JAMAL RASHID SULAIYAM  AL JUFAILI</v>
          </cell>
        </row>
        <row r="655">
          <cell r="A655" t="str">
            <v>08/F0150</v>
          </cell>
          <cell r="B655" t="str">
            <v>KHALIL AHMED HAMED HAMED AL KHALILI</v>
          </cell>
        </row>
        <row r="656">
          <cell r="A656" t="str">
            <v>08/F0151</v>
          </cell>
          <cell r="B656" t="str">
            <v>SALEH JUMA SALEEM AL BULUSHI</v>
          </cell>
        </row>
        <row r="657">
          <cell r="A657" t="str">
            <v>08/F0152</v>
          </cell>
          <cell r="B657" t="str">
            <v>SALEH JUMA SALEEM AL BULUSHI</v>
          </cell>
        </row>
        <row r="658">
          <cell r="A658" t="str">
            <v>08/F0153</v>
          </cell>
          <cell r="B658" t="str">
            <v>SALEH JUMA SALEEM AL BULUSHI</v>
          </cell>
        </row>
        <row r="659">
          <cell r="A659" t="str">
            <v>08/F0154</v>
          </cell>
          <cell r="B659" t="str">
            <v>ANWAR SALIM HAMED AL RASBI</v>
          </cell>
        </row>
        <row r="660">
          <cell r="A660" t="str">
            <v>08/F0155</v>
          </cell>
          <cell r="B660" t="str">
            <v>Nakhal Ahlia Investment Company SOAC</v>
          </cell>
        </row>
        <row r="661">
          <cell r="A661" t="str">
            <v>08/F0156</v>
          </cell>
          <cell r="B661" t="str">
            <v>Nakhal Ahlia Investment Company SOAC</v>
          </cell>
        </row>
        <row r="662">
          <cell r="A662" t="str">
            <v>08/F0157</v>
          </cell>
          <cell r="B662" t="str">
            <v>Nakhal Ahlia Investment Company SOAC</v>
          </cell>
        </row>
        <row r="663">
          <cell r="A663" t="str">
            <v>08/F0158</v>
          </cell>
          <cell r="B663" t="str">
            <v>MAKASIB REAL ESTATE LLC</v>
          </cell>
        </row>
        <row r="664">
          <cell r="A664" t="str">
            <v>08/F0159</v>
          </cell>
          <cell r="B664" t="str">
            <v>MAKASIB REAL ESTATE LLC</v>
          </cell>
        </row>
        <row r="665">
          <cell r="A665" t="str">
            <v>08/F0160</v>
          </cell>
          <cell r="B665" t="str">
            <v>MAKASIB REAL ESTATE LLC</v>
          </cell>
        </row>
        <row r="666">
          <cell r="A666" t="str">
            <v>08/F0161</v>
          </cell>
          <cell r="B666" t="str">
            <v>Nakhal Ahlia Investment Company SOAC</v>
          </cell>
        </row>
        <row r="667">
          <cell r="A667" t="str">
            <v>08/F0162</v>
          </cell>
          <cell r="B667" t="str">
            <v>Nakhal Ahlia Investment Company SOAC</v>
          </cell>
        </row>
        <row r="668">
          <cell r="A668" t="str">
            <v>08/F0163</v>
          </cell>
          <cell r="B668" t="str">
            <v>Nakhal Ahlia Investment Company SOAC</v>
          </cell>
        </row>
        <row r="669">
          <cell r="A669" t="str">
            <v>08/F0164</v>
          </cell>
          <cell r="B669" t="str">
            <v>Nakhal Ahlia Investment Company SOAC</v>
          </cell>
        </row>
        <row r="670">
          <cell r="A670" t="str">
            <v>08/F0165</v>
          </cell>
          <cell r="B670" t="str">
            <v>Nakhal Ahlia Investment Company SOAC</v>
          </cell>
        </row>
        <row r="671">
          <cell r="A671" t="str">
            <v>08/F0166</v>
          </cell>
          <cell r="B671" t="str">
            <v>Nakhal Ahlia Investment Company SOAC</v>
          </cell>
        </row>
        <row r="672">
          <cell r="A672" t="str">
            <v>08/F0167</v>
          </cell>
          <cell r="B672" t="str">
            <v>MAKASIB REAL ESTATE LLC</v>
          </cell>
        </row>
        <row r="673">
          <cell r="A673" t="str">
            <v>08/F0168</v>
          </cell>
          <cell r="B673" t="str">
            <v>MAKASIB REAL ESTATE LLC</v>
          </cell>
        </row>
        <row r="674">
          <cell r="A674" t="str">
            <v>08/F0169</v>
          </cell>
          <cell r="B674" t="str">
            <v>BADRIYA SALEH SALIM AL GHAILANI</v>
          </cell>
        </row>
        <row r="675">
          <cell r="A675" t="str">
            <v>08/F0170</v>
          </cell>
          <cell r="B675" t="str">
            <v>MAKASIB REAL ESTATE LLC</v>
          </cell>
        </row>
        <row r="676">
          <cell r="A676" t="str">
            <v>08/F0171</v>
          </cell>
          <cell r="B676" t="str">
            <v>Najla Yousuf Eid Al Zadjali</v>
          </cell>
        </row>
        <row r="677">
          <cell r="A677" t="str">
            <v>08/F0172</v>
          </cell>
          <cell r="B677" t="str">
            <v>SulaimanMohammed Mubarak Al Ghanbusi</v>
          </cell>
        </row>
        <row r="678">
          <cell r="A678" t="str">
            <v>08/F0173</v>
          </cell>
          <cell r="B678" t="str">
            <v>MAKASIB REAL ESTATE LLC</v>
          </cell>
        </row>
        <row r="679">
          <cell r="A679" t="str">
            <v>08/F0174</v>
          </cell>
          <cell r="B679" t="str">
            <v>MAKASIB REAL ESTATE LLC</v>
          </cell>
        </row>
        <row r="680">
          <cell r="A680" t="str">
            <v>08/F0175</v>
          </cell>
          <cell r="B680" t="str">
            <v>MAKASIB REAL ESTATE LLC</v>
          </cell>
        </row>
        <row r="681">
          <cell r="A681" t="str">
            <v>08/F0176</v>
          </cell>
          <cell r="B681" t="str">
            <v>HAMED SALMAN SALIM AL MANDHARI</v>
          </cell>
        </row>
        <row r="682">
          <cell r="A682" t="str">
            <v>08/F0177</v>
          </cell>
          <cell r="B682" t="str">
            <v>AHMED SALIM HUMAID ALSAIDI</v>
          </cell>
        </row>
        <row r="683">
          <cell r="A683" t="str">
            <v>08/F0178</v>
          </cell>
          <cell r="B683" t="str">
            <v>MOHSIN KHALFAN HAMED AL HASHIMI</v>
          </cell>
        </row>
        <row r="684">
          <cell r="A684" t="str">
            <v>08/F0179</v>
          </cell>
          <cell r="B684" t="str">
            <v>HUMEED SALIM HAMED AL HARTHY</v>
          </cell>
        </row>
        <row r="685">
          <cell r="A685" t="str">
            <v>08/F0180</v>
          </cell>
          <cell r="B685" t="str">
            <v>LAILA MAHIR YAARUB ALBARWANI</v>
          </cell>
        </row>
        <row r="686">
          <cell r="A686" t="str">
            <v>08/F0181</v>
          </cell>
          <cell r="B686" t="str">
            <v>SAID MOHAMMED SAID AL HADHRAMI</v>
          </cell>
        </row>
        <row r="687">
          <cell r="A687" t="str">
            <v>08/F0182</v>
          </cell>
          <cell r="B687" t="str">
            <v>SAID MOHAMMED SAID AL HADHRAMI</v>
          </cell>
        </row>
        <row r="688">
          <cell r="A688" t="str">
            <v>08/F0183</v>
          </cell>
          <cell r="B688" t="str">
            <v>MAKASIB REAL ESTATE LLC</v>
          </cell>
        </row>
        <row r="689">
          <cell r="A689" t="str">
            <v>08/F0184</v>
          </cell>
          <cell r="B689" t="str">
            <v>JUMA SAIF ALAMRY</v>
          </cell>
        </row>
        <row r="690">
          <cell r="A690" t="str">
            <v>08/F0185</v>
          </cell>
          <cell r="B690" t="str">
            <v>MAKASIB REAL ESTATE LLC</v>
          </cell>
        </row>
        <row r="691">
          <cell r="A691" t="str">
            <v>08/F0186</v>
          </cell>
          <cell r="B691" t="str">
            <v>MAKASIB REAL ESTATE LLC</v>
          </cell>
        </row>
        <row r="692">
          <cell r="A692" t="str">
            <v>08/F0187</v>
          </cell>
          <cell r="B692" t="str">
            <v>MAKASIB REAL ESTATE LLC</v>
          </cell>
        </row>
        <row r="693">
          <cell r="A693" t="str">
            <v>08/F0188</v>
          </cell>
          <cell r="B693" t="str">
            <v>MAKASIB REAL ESTATE LLC</v>
          </cell>
        </row>
        <row r="694">
          <cell r="A694" t="str">
            <v>08/F0189</v>
          </cell>
          <cell r="B694" t="str">
            <v>MAKASIB REAL ESTATE LLC</v>
          </cell>
        </row>
        <row r="695">
          <cell r="A695" t="str">
            <v>08/F0190</v>
          </cell>
          <cell r="B695" t="str">
            <v>LAILA AHMED MOHAMMED AL OFI</v>
          </cell>
        </row>
        <row r="696">
          <cell r="A696" t="str">
            <v>08/F0191</v>
          </cell>
          <cell r="B696" t="str">
            <v>MAKASIB REAL ESTATE LLC</v>
          </cell>
        </row>
        <row r="697">
          <cell r="A697" t="str">
            <v>08/F0192</v>
          </cell>
          <cell r="B697" t="str">
            <v>MAKASIB REAL ESTATE LLC</v>
          </cell>
        </row>
        <row r="698">
          <cell r="A698" t="str">
            <v>08/F0193</v>
          </cell>
          <cell r="B698" t="str">
            <v>MAKASIB REAL ESTATE LLC</v>
          </cell>
        </row>
        <row r="699">
          <cell r="A699" t="str">
            <v>08/F0194</v>
          </cell>
          <cell r="B699" t="str">
            <v>MAKASIB REAL ESTATE LLC</v>
          </cell>
        </row>
        <row r="700">
          <cell r="A700" t="str">
            <v>08/F0195</v>
          </cell>
          <cell r="B700" t="str">
            <v>MAKASIB REAL ESTATE LLC</v>
          </cell>
        </row>
        <row r="701">
          <cell r="A701" t="str">
            <v>08/F0196</v>
          </cell>
          <cell r="B701" t="str">
            <v>MOHAMMED SALIM KHALFAN AL MASHARI</v>
          </cell>
        </row>
        <row r="702">
          <cell r="A702" t="str">
            <v>08/F0197</v>
          </cell>
          <cell r="B702" t="str">
            <v>MAKASIB REAL ESTATE LLC</v>
          </cell>
        </row>
        <row r="703">
          <cell r="A703" t="str">
            <v>08/F0198</v>
          </cell>
          <cell r="B703" t="str">
            <v>MAKASIB REAL ESTATE LLC</v>
          </cell>
        </row>
        <row r="704">
          <cell r="A704" t="str">
            <v>08/F0199</v>
          </cell>
          <cell r="B704" t="str">
            <v>MAKASIB REAL ESTATE LLC</v>
          </cell>
        </row>
        <row r="705">
          <cell r="A705" t="str">
            <v>08/F1100</v>
          </cell>
          <cell r="B705" t="str">
            <v>BADAR SAID NASSER AL RASHDI</v>
          </cell>
        </row>
        <row r="706">
          <cell r="A706" t="str">
            <v>08/F1101</v>
          </cell>
          <cell r="B706" t="str">
            <v>AMUR AHMED AMUR AL HINAI</v>
          </cell>
        </row>
        <row r="707">
          <cell r="A707" t="str">
            <v>08/F1102</v>
          </cell>
          <cell r="B707" t="str">
            <v>LUBAN DEVELOPMENT &amp; INVESTMENT LLC</v>
          </cell>
        </row>
        <row r="708">
          <cell r="A708" t="str">
            <v>08/G0001</v>
          </cell>
          <cell r="B708" t="str">
            <v>HAFIDHA MOHAMED AL GHASSANI</v>
          </cell>
        </row>
        <row r="709">
          <cell r="A709" t="str">
            <v>08/G0002</v>
          </cell>
          <cell r="B709" t="str">
            <v>Sulaiman Mansoor Ali Awlad Thani</v>
          </cell>
        </row>
        <row r="710">
          <cell r="A710" t="str">
            <v>08/G0003</v>
          </cell>
          <cell r="B710" t="str">
            <v>AMAN REIT</v>
          </cell>
        </row>
        <row r="711">
          <cell r="A711" t="str">
            <v>08/G0004</v>
          </cell>
          <cell r="B711" t="str">
            <v>IBRAHIM MARHOON SALIM AL YAHYAI</v>
          </cell>
        </row>
        <row r="712">
          <cell r="A712" t="str">
            <v>08/G0005</v>
          </cell>
          <cell r="B712" t="str">
            <v>AMAN REIT</v>
          </cell>
        </row>
        <row r="713">
          <cell r="A713" t="str">
            <v>08/G0006</v>
          </cell>
          <cell r="B713" t="str">
            <v>AMAN REIT</v>
          </cell>
        </row>
        <row r="714">
          <cell r="A714" t="str">
            <v>08/G0007</v>
          </cell>
          <cell r="B714" t="str">
            <v>AMAN REIT</v>
          </cell>
        </row>
        <row r="715">
          <cell r="A715" t="str">
            <v>08/G0008</v>
          </cell>
          <cell r="B715" t="str">
            <v>TALAL SAID MOHAMMED AL DHULI</v>
          </cell>
        </row>
        <row r="716">
          <cell r="A716" t="str">
            <v>08/G0009</v>
          </cell>
          <cell r="B716" t="str">
            <v>SALIM SAID MANSOOR AL MUFADHALI</v>
          </cell>
        </row>
        <row r="717">
          <cell r="A717" t="str">
            <v>08/G0010</v>
          </cell>
          <cell r="B717" t="str">
            <v>AHMED ABDULLAH NABHAN AL AMRI</v>
          </cell>
        </row>
        <row r="718">
          <cell r="A718" t="str">
            <v>08/G0011</v>
          </cell>
          <cell r="B718" t="str">
            <v>ABDUL SALAM NASSER AL KHARUSI</v>
          </cell>
        </row>
        <row r="719">
          <cell r="A719" t="str">
            <v>08/G0012</v>
          </cell>
          <cell r="B719" t="str">
            <v>ABDUL SALAM NASSER AL KHARUSI</v>
          </cell>
        </row>
        <row r="720">
          <cell r="A720" t="str">
            <v>08/G0013</v>
          </cell>
          <cell r="B720" t="str">
            <v>SAUD HILAL SALIM AL MANDHARI</v>
          </cell>
        </row>
        <row r="721">
          <cell r="A721" t="str">
            <v>08/G0014</v>
          </cell>
          <cell r="B721" t="str">
            <v>RASHEED MUBARAK SAID AL FORI</v>
          </cell>
        </row>
        <row r="722">
          <cell r="A722" t="str">
            <v>08/G0015</v>
          </cell>
          <cell r="B722" t="str">
            <v>GHALIA MUBARAK SAID AL FORI</v>
          </cell>
        </row>
        <row r="723">
          <cell r="A723" t="str">
            <v>08/G0016</v>
          </cell>
          <cell r="B723" t="str">
            <v>ALYA MUBARAK SAID AL FORI</v>
          </cell>
        </row>
        <row r="724">
          <cell r="A724" t="str">
            <v>08/G0017</v>
          </cell>
          <cell r="B724" t="str">
            <v>AHMED NASSER SAID ALHADI</v>
          </cell>
        </row>
        <row r="725">
          <cell r="A725" t="str">
            <v>08/G0018</v>
          </cell>
          <cell r="B725" t="str">
            <v>MOHAMMED ALI SALIM AL DUWAIKI</v>
          </cell>
        </row>
        <row r="726">
          <cell r="A726" t="str">
            <v>08/G0019</v>
          </cell>
          <cell r="B726" t="str">
            <v>NASSER SULAIMAN MUSALLIM AL HUDAIFI</v>
          </cell>
        </row>
        <row r="727">
          <cell r="A727" t="str">
            <v>08/G0020</v>
          </cell>
          <cell r="B727" t="str">
            <v>SALIM HAMED SAIF AL SUKAITI</v>
          </cell>
        </row>
        <row r="728">
          <cell r="A728" t="str">
            <v>08/G0021</v>
          </cell>
          <cell r="B728" t="str">
            <v>AHMED  ALI ABDULLAH AL NAJJAR</v>
          </cell>
        </row>
        <row r="729">
          <cell r="A729" t="str">
            <v>08/G0022</v>
          </cell>
          <cell r="B729" t="str">
            <v>MOHAMED ALI ABDULLAH AL RIYAMI</v>
          </cell>
        </row>
        <row r="730">
          <cell r="A730" t="str">
            <v>08/G0023</v>
          </cell>
          <cell r="B730" t="str">
            <v>MOHAMED ALI ABDULLAH AL RIYAMI</v>
          </cell>
        </row>
        <row r="731">
          <cell r="A731" t="str">
            <v>08/G0024</v>
          </cell>
          <cell r="B731" t="str">
            <v>LAILA ABDULLAH ALI AL MAAMARI</v>
          </cell>
        </row>
        <row r="732">
          <cell r="A732" t="str">
            <v>08/G0025</v>
          </cell>
          <cell r="B732" t="str">
            <v>ADIL SHABAN AL DHAD AL AASI</v>
          </cell>
        </row>
        <row r="733">
          <cell r="A733" t="str">
            <v>08/G0026</v>
          </cell>
          <cell r="B733" t="str">
            <v>KHALID HAMED SAIF AL KHARUSI</v>
          </cell>
        </row>
        <row r="734">
          <cell r="A734" t="str">
            <v>08/G0027</v>
          </cell>
          <cell r="B734" t="str">
            <v>MANSOOR SALIM HAMED AL ALAWI</v>
          </cell>
        </row>
        <row r="735">
          <cell r="A735" t="str">
            <v>08/G0028</v>
          </cell>
          <cell r="B735" t="str">
            <v>RAHMA MANSOOR NASSER AL FARSI</v>
          </cell>
        </row>
        <row r="736">
          <cell r="A736" t="str">
            <v>08/G0029</v>
          </cell>
          <cell r="B736" t="str">
            <v>ABDULLAH JAMIL SAIF AL QURAINI</v>
          </cell>
        </row>
        <row r="737">
          <cell r="A737" t="str">
            <v>08/G0030</v>
          </cell>
          <cell r="B737" t="str">
            <v>HAMED NASSER AL AWFI</v>
          </cell>
        </row>
        <row r="738">
          <cell r="A738" t="str">
            <v>08/G0031</v>
          </cell>
          <cell r="B738" t="str">
            <v>AMAN REIT</v>
          </cell>
        </row>
        <row r="739">
          <cell r="A739" t="str">
            <v>08/G0032</v>
          </cell>
          <cell r="B739" t="str">
            <v>HANI HILAL AHMED AL RAWAHI</v>
          </cell>
        </row>
        <row r="740">
          <cell r="A740" t="str">
            <v>08/G0033</v>
          </cell>
          <cell r="B740" t="str">
            <v>MOHAMMED MASOUD RASHID AL GHAFRI</v>
          </cell>
        </row>
        <row r="741">
          <cell r="A741" t="str">
            <v>08/G0034</v>
          </cell>
          <cell r="B741" t="str">
            <v>AHMED MOHAMED QASSIM AL ANSARI</v>
          </cell>
        </row>
        <row r="742">
          <cell r="A742" t="str">
            <v>08/G0035</v>
          </cell>
          <cell r="B742" t="str">
            <v>SAID SAIF NASSER AL JABRI</v>
          </cell>
        </row>
        <row r="743">
          <cell r="A743" t="str">
            <v>08/G0036</v>
          </cell>
          <cell r="B743" t="str">
            <v>MAZIN MOHAMMED SALIM AL ADAWI</v>
          </cell>
        </row>
        <row r="744">
          <cell r="A744" t="str">
            <v>08/G0037</v>
          </cell>
          <cell r="B744" t="str">
            <v>SAUD ABDULLAH SAID AL BAHRI</v>
          </cell>
        </row>
        <row r="745">
          <cell r="A745" t="str">
            <v>08/G0038</v>
          </cell>
          <cell r="B745" t="str">
            <v>MOHAMED TAQI AL AJMI</v>
          </cell>
        </row>
        <row r="746">
          <cell r="A746" t="str">
            <v>08/G0039</v>
          </cell>
          <cell r="B746" t="str">
            <v>KUMAIL AHMED KHMIS AL LAWATI</v>
          </cell>
        </row>
        <row r="747">
          <cell r="A747" t="str">
            <v>08/G0040</v>
          </cell>
          <cell r="B747" t="str">
            <v>NAFA HUMAID AMUR AL JAHDHAMI</v>
          </cell>
        </row>
        <row r="748">
          <cell r="A748" t="str">
            <v>08/G0041</v>
          </cell>
          <cell r="B748" t="str">
            <v>SAIF SALIM AWADH AL ZAKWANI</v>
          </cell>
        </row>
        <row r="749">
          <cell r="A749" t="str">
            <v>08/G0042</v>
          </cell>
          <cell r="B749" t="str">
            <v>AHMED NASSER SAAIYED AL SULAIMANI</v>
          </cell>
        </row>
        <row r="750">
          <cell r="A750" t="str">
            <v>08/G0043</v>
          </cell>
          <cell r="B750" t="str">
            <v>IBRAHIM MOHAMED HUMAID AL WAILI</v>
          </cell>
        </row>
        <row r="751">
          <cell r="A751" t="str">
            <v>08/G0044</v>
          </cell>
          <cell r="B751" t="str">
            <v>Nakhal Ahlia Investment Company SOAC</v>
          </cell>
        </row>
        <row r="752">
          <cell r="A752" t="str">
            <v>08/G0045</v>
          </cell>
          <cell r="B752" t="str">
            <v>KHAMIS ALI ABDULLAH AL MAHROUQI</v>
          </cell>
        </row>
        <row r="753">
          <cell r="A753" t="str">
            <v>08/G0046</v>
          </cell>
          <cell r="B753" t="str">
            <v>AIMAN ABDULLAH KHALFAN AL AMRI</v>
          </cell>
        </row>
        <row r="754">
          <cell r="A754" t="str">
            <v>08/G0047</v>
          </cell>
          <cell r="B754" t="str">
            <v>AMAN REIT</v>
          </cell>
        </row>
        <row r="755">
          <cell r="A755" t="str">
            <v>08/G0048</v>
          </cell>
          <cell r="B755" t="str">
            <v>AMAN REIT</v>
          </cell>
        </row>
        <row r="756">
          <cell r="A756" t="str">
            <v>08/G0049</v>
          </cell>
          <cell r="B756" t="str">
            <v>SALIM NASSER RASHID AL KHUDHURI</v>
          </cell>
        </row>
        <row r="757">
          <cell r="A757" t="str">
            <v>08/G0050</v>
          </cell>
          <cell r="B757" t="str">
            <v>SALIM NASSER RASHID AL KHUDHURI</v>
          </cell>
        </row>
        <row r="758">
          <cell r="A758" t="str">
            <v>08/G0051</v>
          </cell>
          <cell r="B758" t="str">
            <v>KHALIL AHMED HAMED HAMED AL KHALILI</v>
          </cell>
        </row>
        <row r="759">
          <cell r="A759" t="str">
            <v>08/G0052</v>
          </cell>
          <cell r="B759" t="str">
            <v>KHALIL AHMED HAMED HAMED AL KHALILI</v>
          </cell>
        </row>
        <row r="760">
          <cell r="A760" t="str">
            <v>08/G0053</v>
          </cell>
          <cell r="B760" t="str">
            <v>KHALIL AHMED HAMED HAMED AL KHALILI</v>
          </cell>
        </row>
        <row r="761">
          <cell r="A761" t="str">
            <v>08/G0054</v>
          </cell>
          <cell r="B761" t="str">
            <v>IBRAHIM MOHAMMED AHMED AL HARTHI</v>
          </cell>
        </row>
        <row r="762">
          <cell r="A762" t="str">
            <v>08/G0055</v>
          </cell>
          <cell r="B762" t="str">
            <v>IBRAHIM MOHAMMED AHMED AL HARTHI</v>
          </cell>
        </row>
        <row r="763">
          <cell r="A763" t="str">
            <v>08/G0056</v>
          </cell>
          <cell r="B763" t="str">
            <v>IBRAHIM MOHAMMED AHMED AL HARTHI</v>
          </cell>
        </row>
        <row r="764">
          <cell r="A764" t="str">
            <v>08/G0057</v>
          </cell>
          <cell r="B764" t="str">
            <v>AL TAYAB MOHMED AHMED AL HARTHI</v>
          </cell>
        </row>
        <row r="765">
          <cell r="A765" t="str">
            <v>08/G0058</v>
          </cell>
          <cell r="B765" t="str">
            <v>ABDULLAH MOHAMED AHMED AL HARTHY</v>
          </cell>
        </row>
        <row r="766">
          <cell r="A766" t="str">
            <v>08/G0059</v>
          </cell>
          <cell r="B766" t="str">
            <v>KHALID SAIF ALI AL ZIDI</v>
          </cell>
        </row>
        <row r="767">
          <cell r="A767" t="str">
            <v>08/G0060</v>
          </cell>
          <cell r="B767" t="str">
            <v>SAID SALIM MASAAOD AL RUBAII</v>
          </cell>
        </row>
        <row r="768">
          <cell r="A768" t="str">
            <v>08/G0061</v>
          </cell>
          <cell r="B768" t="str">
            <v>HAMOOD AHMED HAMOOD AL MAAMIRY</v>
          </cell>
        </row>
        <row r="769">
          <cell r="A769" t="str">
            <v>08/G0062</v>
          </cell>
          <cell r="B769" t="str">
            <v>SAIF NASSER AHMED AL MAAWALI</v>
          </cell>
        </row>
        <row r="770">
          <cell r="A770" t="str">
            <v>08/G0063</v>
          </cell>
          <cell r="B770" t="str">
            <v>Amin Jaber Mohammed Al Shibani</v>
          </cell>
        </row>
        <row r="771">
          <cell r="A771" t="str">
            <v>08/G0064</v>
          </cell>
          <cell r="B771" t="str">
            <v>MOHAMED ABDULLAH SAIF AL SUBHI</v>
          </cell>
        </row>
        <row r="772">
          <cell r="A772" t="str">
            <v>08/G0065</v>
          </cell>
          <cell r="B772" t="str">
            <v>SABIH SALIM SAID AL HARTHI</v>
          </cell>
        </row>
        <row r="773">
          <cell r="A773" t="str">
            <v>08/G0066</v>
          </cell>
          <cell r="B773" t="str">
            <v>AMAN REIT</v>
          </cell>
        </row>
        <row r="774">
          <cell r="A774" t="str">
            <v>08/G0067</v>
          </cell>
          <cell r="B774" t="str">
            <v>AMAN REIT</v>
          </cell>
        </row>
        <row r="775">
          <cell r="A775" t="str">
            <v>08/G0068</v>
          </cell>
          <cell r="B775" t="str">
            <v>AMAN REIT</v>
          </cell>
        </row>
        <row r="776">
          <cell r="A776" t="str">
            <v>08/G0069</v>
          </cell>
          <cell r="B776" t="str">
            <v>AMAN REIT</v>
          </cell>
        </row>
        <row r="777">
          <cell r="A777" t="str">
            <v>08/G0070</v>
          </cell>
          <cell r="B777" t="str">
            <v>SALIM NASEER SALIM AL HADHRAMI</v>
          </cell>
        </row>
        <row r="778">
          <cell r="A778" t="str">
            <v>08/G0071</v>
          </cell>
          <cell r="B778" t="str">
            <v>ZAHIR HILAL ZAHIR SALIM AL HADHARAMI</v>
          </cell>
        </row>
        <row r="779">
          <cell r="A779" t="str">
            <v>08/G0072</v>
          </cell>
          <cell r="B779" t="str">
            <v>KHALID SALEEM HAMDAN AL QASSABI</v>
          </cell>
        </row>
        <row r="780">
          <cell r="A780" t="str">
            <v>08/G0073</v>
          </cell>
          <cell r="B780" t="str">
            <v>MAQBOLA MANSOOR NASIR AL SAIDI</v>
          </cell>
        </row>
        <row r="781">
          <cell r="A781" t="str">
            <v>08/G0074</v>
          </cell>
          <cell r="B781" t="str">
            <v>AMAN REIT</v>
          </cell>
        </row>
        <row r="782">
          <cell r="A782" t="str">
            <v>08/G0075</v>
          </cell>
          <cell r="B782" t="str">
            <v>AMAN REIT</v>
          </cell>
        </row>
        <row r="783">
          <cell r="A783" t="str">
            <v>08/G0076</v>
          </cell>
          <cell r="B783" t="str">
            <v>AMAN REIT</v>
          </cell>
        </row>
        <row r="784">
          <cell r="A784" t="str">
            <v>08/G0077</v>
          </cell>
          <cell r="B784" t="str">
            <v>SULIMAN NASSER AL OFI</v>
          </cell>
        </row>
        <row r="785">
          <cell r="A785" t="str">
            <v>08/G0078</v>
          </cell>
          <cell r="B785" t="str">
            <v>AMAN REIT</v>
          </cell>
        </row>
        <row r="786">
          <cell r="A786" t="str">
            <v>08/G0079</v>
          </cell>
          <cell r="B786" t="str">
            <v>SAID ALI SALIM AL KALBANI</v>
          </cell>
        </row>
        <row r="787">
          <cell r="A787" t="str">
            <v>08/G0080</v>
          </cell>
          <cell r="B787" t="str">
            <v>MOHAMMED MUNEER SALIM AL HINAI</v>
          </cell>
        </row>
        <row r="788">
          <cell r="A788" t="str">
            <v>08/G0081</v>
          </cell>
          <cell r="B788" t="str">
            <v>SALEH JUMA SALEEM AL BULUSHI</v>
          </cell>
        </row>
        <row r="789">
          <cell r="A789" t="str">
            <v>08/G0082</v>
          </cell>
          <cell r="B789" t="str">
            <v>HUMEED SALIM HAMED AL HARTHY</v>
          </cell>
        </row>
        <row r="790">
          <cell r="A790" t="str">
            <v>08/G0083</v>
          </cell>
          <cell r="B790" t="str">
            <v>MOHAMED KHAMIS RASHID AL FARSI</v>
          </cell>
        </row>
        <row r="791">
          <cell r="A791" t="str">
            <v>08/G0084</v>
          </cell>
          <cell r="B791" t="str">
            <v>LAILA MAHIR YAARUB ALBARWANI</v>
          </cell>
        </row>
        <row r="792">
          <cell r="A792" t="str">
            <v>08/G0085</v>
          </cell>
          <cell r="B792" t="str">
            <v>LAILA MAHIR YAARUB ALBARWANI</v>
          </cell>
        </row>
        <row r="793">
          <cell r="A793" t="str">
            <v>08/G0086</v>
          </cell>
          <cell r="B793" t="str">
            <v>AMAN REIT</v>
          </cell>
        </row>
        <row r="794">
          <cell r="A794" t="str">
            <v>08/G0087</v>
          </cell>
          <cell r="B794" t="str">
            <v>AHLAM HILAL ALI AL RAWAHI</v>
          </cell>
        </row>
        <row r="795">
          <cell r="A795" t="str">
            <v>08/G0088</v>
          </cell>
          <cell r="B795" t="str">
            <v>AMAN REIT</v>
          </cell>
        </row>
        <row r="796">
          <cell r="A796" t="str">
            <v>08/G0089</v>
          </cell>
          <cell r="B796" t="str">
            <v>MOHAMED SAID MOHAMED AL HOSNI</v>
          </cell>
        </row>
        <row r="797">
          <cell r="A797" t="str">
            <v>08/G0090</v>
          </cell>
          <cell r="B797" t="str">
            <v>SALIM ABDULLAH SALIM AL ADAWANI</v>
          </cell>
        </row>
        <row r="798">
          <cell r="A798" t="str">
            <v>08/G0091</v>
          </cell>
          <cell r="B798" t="str">
            <v>AMAN REIT</v>
          </cell>
        </row>
        <row r="799">
          <cell r="A799" t="str">
            <v>08/G0092</v>
          </cell>
          <cell r="B799" t="str">
            <v>AMAN REIT</v>
          </cell>
        </row>
        <row r="800">
          <cell r="A800" t="str">
            <v>08/G0093</v>
          </cell>
          <cell r="B800" t="str">
            <v>NADA ALI MOHAMMED MUQAIBAL</v>
          </cell>
        </row>
        <row r="801">
          <cell r="A801" t="str">
            <v>08/G0094</v>
          </cell>
          <cell r="B801" t="str">
            <v>AMAN REIT</v>
          </cell>
        </row>
        <row r="802">
          <cell r="A802" t="str">
            <v>08/G0095</v>
          </cell>
          <cell r="B802" t="str">
            <v>AMAN REIT</v>
          </cell>
        </row>
        <row r="803">
          <cell r="A803" t="str">
            <v>08/G0096</v>
          </cell>
          <cell r="B803" t="str">
            <v>AMAN REIT</v>
          </cell>
        </row>
        <row r="804">
          <cell r="A804" t="str">
            <v>08/G0097</v>
          </cell>
          <cell r="B804" t="str">
            <v>RASHID HAMED ALI JAWAD AL GHAILANI</v>
          </cell>
        </row>
        <row r="805">
          <cell r="A805" t="str">
            <v>08/G0098</v>
          </cell>
          <cell r="B805" t="str">
            <v>HAMED MOHAMED SAID AL HOSNI</v>
          </cell>
        </row>
        <row r="806">
          <cell r="A806" t="str">
            <v>08/G0099</v>
          </cell>
          <cell r="B806" t="str">
            <v>FATIMA RASHID SULTAN AL JULANDAIN</v>
          </cell>
        </row>
        <row r="807">
          <cell r="A807" t="str">
            <v>08/G0100</v>
          </cell>
          <cell r="B807" t="str">
            <v>MAHIR KHAMIS SALIM AL ARAFATI</v>
          </cell>
        </row>
        <row r="808">
          <cell r="A808" t="str">
            <v>08/G0101</v>
          </cell>
          <cell r="B808" t="str">
            <v>ABDUL HAMEED PIR BAKHSH AL BALUSHI</v>
          </cell>
        </row>
        <row r="809">
          <cell r="A809" t="str">
            <v>08/G0102</v>
          </cell>
          <cell r="B809" t="str">
            <v>MOHAMED AHMED ABDULLAH AL HARTHI</v>
          </cell>
        </row>
        <row r="810">
          <cell r="A810" t="str">
            <v>08/G0103</v>
          </cell>
          <cell r="B810" t="str">
            <v>MOHAMMED SAIF MOHAMMED AL MAMARI</v>
          </cell>
        </row>
        <row r="811">
          <cell r="A811" t="str">
            <v>08/G0104</v>
          </cell>
          <cell r="B811" t="str">
            <v>AMAN REIT</v>
          </cell>
        </row>
        <row r="812">
          <cell r="A812" t="str">
            <v>08/G0105</v>
          </cell>
          <cell r="B812" t="str">
            <v>THURAIYA KHALFAN ALI AL SIYABI</v>
          </cell>
        </row>
        <row r="813">
          <cell r="A813" t="str">
            <v>08/G0106</v>
          </cell>
          <cell r="B813" t="str">
            <v>BADAR SULAIMAN MANSOOR AWLAD THANI</v>
          </cell>
        </row>
        <row r="814">
          <cell r="A814" t="str">
            <v>08/G0107</v>
          </cell>
          <cell r="B814" t="str">
            <v>AMAN REIT</v>
          </cell>
        </row>
        <row r="815">
          <cell r="A815" t="str">
            <v>08/G0108</v>
          </cell>
          <cell r="B815" t="str">
            <v>AMAN REIT</v>
          </cell>
        </row>
        <row r="816">
          <cell r="A816" t="str">
            <v>08/G0109</v>
          </cell>
          <cell r="B816" t="str">
            <v>AMAN REIT</v>
          </cell>
        </row>
        <row r="817">
          <cell r="A817" t="str">
            <v>08/G0110</v>
          </cell>
          <cell r="B817" t="str">
            <v>AMAN REIT</v>
          </cell>
        </row>
        <row r="818">
          <cell r="A818" t="str">
            <v>08/G0111</v>
          </cell>
          <cell r="B818" t="str">
            <v>AMAN REIT</v>
          </cell>
        </row>
        <row r="819">
          <cell r="A819" t="str">
            <v>08/G0112</v>
          </cell>
          <cell r="B819" t="str">
            <v>AMAN REIT</v>
          </cell>
        </row>
        <row r="820">
          <cell r="A820" t="str">
            <v>08/G0113</v>
          </cell>
          <cell r="B820" t="str">
            <v>AMAN REIT</v>
          </cell>
        </row>
        <row r="821">
          <cell r="A821" t="str">
            <v>09/F0101</v>
          </cell>
          <cell r="B821" t="str">
            <v>MADHAFAR SAID SULAIMAN AL WAHEIBI</v>
          </cell>
        </row>
        <row r="822">
          <cell r="A822" t="str">
            <v>09/F0102</v>
          </cell>
          <cell r="B822" t="str">
            <v>AHMED SALIM ALI AL SHUKAILI</v>
          </cell>
        </row>
        <row r="823">
          <cell r="A823" t="str">
            <v>09/F0103</v>
          </cell>
          <cell r="B823" t="str">
            <v>Haitham Abdali Abdullah Al Kashri</v>
          </cell>
        </row>
        <row r="824">
          <cell r="A824" t="str">
            <v>09/F0104</v>
          </cell>
          <cell r="B824" t="str">
            <v>Laila Sulaiman Salim Al Hasani</v>
          </cell>
        </row>
        <row r="825">
          <cell r="A825" t="str">
            <v>09/F0105</v>
          </cell>
          <cell r="B825" t="str">
            <v>Laila Sulaiman Salim Al Hasani</v>
          </cell>
        </row>
        <row r="826">
          <cell r="A826" t="str">
            <v>09/F0106</v>
          </cell>
          <cell r="B826" t="str">
            <v>MAKASIB REAL ESTATE LLC</v>
          </cell>
        </row>
        <row r="827">
          <cell r="A827" t="str">
            <v>09/F0107</v>
          </cell>
          <cell r="B827" t="str">
            <v>MAHMOOD KHAMIS ABDULLA AL SHUKAILI</v>
          </cell>
        </row>
        <row r="828">
          <cell r="A828" t="str">
            <v>09/F0108</v>
          </cell>
          <cell r="B828" t="str">
            <v>FAISAL NIDHAM SHAH MOHAMMED AL BULUSH</v>
          </cell>
        </row>
        <row r="829">
          <cell r="A829" t="str">
            <v>09/F0109</v>
          </cell>
          <cell r="B829" t="str">
            <v>MAKASIB REAL ESTATE LLC</v>
          </cell>
        </row>
        <row r="830">
          <cell r="A830" t="str">
            <v>09/F0110</v>
          </cell>
          <cell r="B830" t="str">
            <v>Esam Ismail Saleh Al Balushi</v>
          </cell>
        </row>
        <row r="831">
          <cell r="A831" t="str">
            <v>09/F0111</v>
          </cell>
          <cell r="B831" t="str">
            <v>Esam Ismail Saleh Al Balushi</v>
          </cell>
        </row>
        <row r="832">
          <cell r="A832" t="str">
            <v>09/F0112</v>
          </cell>
          <cell r="B832" t="str">
            <v>Esam Ismail Saleh Al Balushi</v>
          </cell>
        </row>
        <row r="833">
          <cell r="A833" t="str">
            <v>09/F0113</v>
          </cell>
          <cell r="B833" t="str">
            <v>Esam Ismail Saleh Al Balushi</v>
          </cell>
        </row>
        <row r="834">
          <cell r="A834" t="str">
            <v>09/F0114</v>
          </cell>
          <cell r="B834" t="str">
            <v>Esam Ismail Saleh Al Balushi</v>
          </cell>
        </row>
        <row r="835">
          <cell r="A835" t="str">
            <v>09/F0115</v>
          </cell>
          <cell r="B835" t="str">
            <v>Esam Ismail Saleh Al Balushi</v>
          </cell>
        </row>
        <row r="836">
          <cell r="A836" t="str">
            <v>09/F0116</v>
          </cell>
          <cell r="B836" t="str">
            <v>Esam Ismail Saleh Al Balushi</v>
          </cell>
        </row>
        <row r="837">
          <cell r="A837" t="str">
            <v>09/F0117</v>
          </cell>
          <cell r="B837" t="str">
            <v>SALIM HAJEZ MOHAMMED AL JAHWARI</v>
          </cell>
        </row>
        <row r="838">
          <cell r="A838" t="str">
            <v>09/F0118</v>
          </cell>
          <cell r="B838" t="str">
            <v>AHMED HILAL ESSA AL ABRI</v>
          </cell>
        </row>
        <row r="839">
          <cell r="A839" t="str">
            <v>09/F0119</v>
          </cell>
          <cell r="B839" t="str">
            <v>Esam Ismail Saleh Al Balushi</v>
          </cell>
        </row>
        <row r="840">
          <cell r="A840" t="str">
            <v>09/F0120</v>
          </cell>
          <cell r="B840" t="str">
            <v>Esam Ismail Saleh Al Balushi</v>
          </cell>
        </row>
        <row r="841">
          <cell r="A841" t="str">
            <v>09/F0121</v>
          </cell>
          <cell r="B841" t="str">
            <v>Esam Ismail Saleh Al Balushi</v>
          </cell>
        </row>
        <row r="842">
          <cell r="A842" t="str">
            <v>09/F0122</v>
          </cell>
          <cell r="B842" t="str">
            <v>FATHIYA HAMOOD MOHAMMED AL BUSAIDI</v>
          </cell>
        </row>
        <row r="843">
          <cell r="A843" t="str">
            <v>09/F0123</v>
          </cell>
          <cell r="B843" t="str">
            <v>HABIB MURTADHA HABIB AL HAMAID</v>
          </cell>
        </row>
        <row r="844">
          <cell r="A844" t="str">
            <v>09/F0124</v>
          </cell>
          <cell r="B844" t="str">
            <v>MARIAM SALIM OBAID AL SALMI</v>
          </cell>
        </row>
        <row r="845">
          <cell r="A845" t="str">
            <v>09/F0125</v>
          </cell>
          <cell r="B845" t="str">
            <v>TALAL MARHOUN KHALFAN AL MAAMARI</v>
          </cell>
        </row>
        <row r="846">
          <cell r="A846" t="str">
            <v>09/F0126</v>
          </cell>
          <cell r="B846" t="str">
            <v>LUBAN DEVELOPMENT &amp; INVESTMENT LLC</v>
          </cell>
        </row>
        <row r="847">
          <cell r="A847" t="str">
            <v>09/F0127</v>
          </cell>
          <cell r="B847" t="str">
            <v>SALIM SAID HUMAID AL HABSI</v>
          </cell>
        </row>
        <row r="848">
          <cell r="A848" t="str">
            <v>09/F0128</v>
          </cell>
          <cell r="B848" t="str">
            <v>AL GHALIA HAMED HILAL AL RAWAHI</v>
          </cell>
        </row>
        <row r="849">
          <cell r="A849" t="str">
            <v>09/F0129</v>
          </cell>
          <cell r="B849" t="str">
            <v>ZAKARIYA YAHYA ZAHRAN AL HIJI</v>
          </cell>
        </row>
        <row r="850">
          <cell r="A850" t="str">
            <v>09/F0130</v>
          </cell>
          <cell r="B850" t="str">
            <v>MAKASIB REAL ESTATE LLC</v>
          </cell>
        </row>
        <row r="851">
          <cell r="A851" t="str">
            <v>09/F0131</v>
          </cell>
          <cell r="B851" t="str">
            <v>MAKASIB REAL ESTATE LLC</v>
          </cell>
        </row>
        <row r="852">
          <cell r="A852" t="str">
            <v>09/F0132</v>
          </cell>
          <cell r="B852" t="str">
            <v>FAISAL MOHAMED ALI RADHI</v>
          </cell>
        </row>
        <row r="853">
          <cell r="A853" t="str">
            <v>09/F0133</v>
          </cell>
          <cell r="B853" t="str">
            <v>SALIM ALI HOUDI AL MAHRI</v>
          </cell>
        </row>
        <row r="854">
          <cell r="A854" t="str">
            <v>09/F0134</v>
          </cell>
          <cell r="B854" t="str">
            <v>SALIM ALI HOUDI AL MAHRI</v>
          </cell>
        </row>
        <row r="855">
          <cell r="A855" t="str">
            <v>09/F0135</v>
          </cell>
          <cell r="B855" t="str">
            <v>SALIM ALI HOUDI AL MAHRI</v>
          </cell>
        </row>
        <row r="856">
          <cell r="A856" t="str">
            <v>09/F0136</v>
          </cell>
          <cell r="B856" t="str">
            <v>NABHAN ALI SAUD AL ATTABI</v>
          </cell>
        </row>
        <row r="857">
          <cell r="A857" t="str">
            <v>09/F0137</v>
          </cell>
          <cell r="B857" t="str">
            <v>SAIF MOHAMMED AL HINAI</v>
          </cell>
        </row>
        <row r="858">
          <cell r="A858" t="str">
            <v>09/F0138</v>
          </cell>
          <cell r="B858" t="str">
            <v>SAIF MOHAMMED AL HINAI</v>
          </cell>
        </row>
        <row r="859">
          <cell r="A859" t="str">
            <v>09/F0139</v>
          </cell>
          <cell r="B859" t="str">
            <v>Hanan Fahad Mubarak Al Mayyas</v>
          </cell>
        </row>
        <row r="860">
          <cell r="A860" t="str">
            <v>09/F0140</v>
          </cell>
          <cell r="B860" t="str">
            <v>MAKASIB REAL ESTATE LLC</v>
          </cell>
        </row>
        <row r="861">
          <cell r="A861" t="str">
            <v>09/F0141</v>
          </cell>
          <cell r="B861" t="str">
            <v>MAKASIB REAL ESTATE LLC</v>
          </cell>
        </row>
        <row r="862">
          <cell r="A862" t="str">
            <v>09/F0142</v>
          </cell>
          <cell r="B862" t="str">
            <v>MAKASIB REAL ESTATE LLC</v>
          </cell>
        </row>
        <row r="863">
          <cell r="A863" t="str">
            <v>09/F0143</v>
          </cell>
          <cell r="B863" t="str">
            <v>MAKASIB REAL ESTATE LLC</v>
          </cell>
        </row>
        <row r="864">
          <cell r="A864" t="str">
            <v>09/F0144</v>
          </cell>
          <cell r="B864" t="str">
            <v>IBTISAM RASHID SALIM AL MAKTUMI</v>
          </cell>
        </row>
        <row r="865">
          <cell r="A865" t="str">
            <v>09/F0145</v>
          </cell>
          <cell r="B865" t="str">
            <v>MAKASIB REAL ESTATE LLC</v>
          </cell>
        </row>
        <row r="866">
          <cell r="A866" t="str">
            <v>09/F0146</v>
          </cell>
          <cell r="B866" t="str">
            <v>MOHAMMED ABDULLAH YOUSUF</v>
          </cell>
        </row>
        <row r="867">
          <cell r="A867" t="str">
            <v>09/F0147</v>
          </cell>
          <cell r="B867" t="str">
            <v>MOHAMMED ABDULLAH YOUSUF</v>
          </cell>
        </row>
        <row r="868">
          <cell r="A868" t="str">
            <v>09/F0148</v>
          </cell>
          <cell r="B868" t="str">
            <v>ALI MANSOOR NASSER AL SULAIMI</v>
          </cell>
        </row>
        <row r="869">
          <cell r="A869" t="str">
            <v>09/F0149</v>
          </cell>
          <cell r="B869" t="str">
            <v>Ahmed Mohamed Ahmed Al Moamen</v>
          </cell>
        </row>
        <row r="870">
          <cell r="A870" t="str">
            <v>09/F0150</v>
          </cell>
          <cell r="B870" t="str">
            <v>GHANIA SAIF SAID AL GHAFRI</v>
          </cell>
        </row>
        <row r="871">
          <cell r="A871" t="str">
            <v>09/G0001</v>
          </cell>
          <cell r="B871" t="str">
            <v>ALI SALIM SAID AL SULAIMI</v>
          </cell>
        </row>
        <row r="872">
          <cell r="A872" t="str">
            <v>09/G0002</v>
          </cell>
          <cell r="B872" t="str">
            <v>NAJIYA AHMED HAMED AL KHALILI</v>
          </cell>
        </row>
        <row r="873">
          <cell r="A873" t="str">
            <v>09/G0003</v>
          </cell>
          <cell r="B873" t="str">
            <v>IBRAHIM YAHYA SULAIMAN AL KINDI</v>
          </cell>
        </row>
        <row r="874">
          <cell r="A874" t="str">
            <v>09/G0004</v>
          </cell>
          <cell r="B874" t="str">
            <v>AMAN REIT</v>
          </cell>
        </row>
        <row r="875">
          <cell r="A875" t="str">
            <v>09/G0005</v>
          </cell>
          <cell r="B875" t="str">
            <v>SALIM HAJEZ MOHAMMED AL JAHWARI</v>
          </cell>
        </row>
        <row r="876">
          <cell r="A876" t="str">
            <v>09/G0006</v>
          </cell>
          <cell r="B876" t="str">
            <v>AMAN REIT</v>
          </cell>
        </row>
        <row r="877">
          <cell r="A877" t="str">
            <v>09/G0007</v>
          </cell>
          <cell r="B877" t="str">
            <v>MOHAMMED IBRAHIM YAHYA AL KINDI</v>
          </cell>
        </row>
        <row r="878">
          <cell r="A878" t="str">
            <v>09/G0008</v>
          </cell>
          <cell r="B878" t="str">
            <v>MARWA YOUSUF ABDULLAH AL SHIRAWI</v>
          </cell>
        </row>
        <row r="879">
          <cell r="A879" t="str">
            <v>09/G0009</v>
          </cell>
          <cell r="B879" t="str">
            <v>AMAN REIT</v>
          </cell>
        </row>
        <row r="880">
          <cell r="A880" t="str">
            <v>09/G0010</v>
          </cell>
          <cell r="B880" t="str">
            <v>AMAN REIT</v>
          </cell>
        </row>
        <row r="881">
          <cell r="A881" t="str">
            <v>09/G0011</v>
          </cell>
          <cell r="B881" t="str">
            <v>MAZIN HAMED MOHAMED AL HASNI</v>
          </cell>
        </row>
        <row r="882">
          <cell r="A882" t="str">
            <v>09/G0012</v>
          </cell>
          <cell r="B882" t="str">
            <v>HAMED KHALIFA ABDULLAH AL SADI</v>
          </cell>
        </row>
        <row r="883">
          <cell r="A883" t="str">
            <v>09/G0013</v>
          </cell>
          <cell r="B883" t="str">
            <v>MURTADHA ABDUL AMIR HAMEED</v>
          </cell>
        </row>
        <row r="884">
          <cell r="A884" t="str">
            <v>09/G0014</v>
          </cell>
          <cell r="B884" t="str">
            <v>AZZAN ABDUL AMIR HAMEED</v>
          </cell>
        </row>
        <row r="885">
          <cell r="A885" t="str">
            <v>09/G0015</v>
          </cell>
          <cell r="B885" t="str">
            <v>Nakhal Ahlia Investment Company SOAC</v>
          </cell>
        </row>
        <row r="886">
          <cell r="A886" t="str">
            <v>09/G0016</v>
          </cell>
          <cell r="B886" t="str">
            <v>HILAL HAMED HAMOOD AL HOOTI</v>
          </cell>
        </row>
        <row r="887">
          <cell r="A887" t="str">
            <v>09/G0017</v>
          </cell>
          <cell r="B887" t="str">
            <v>AMAN REIT</v>
          </cell>
        </row>
        <row r="888">
          <cell r="A888" t="str">
            <v>09/G0018</v>
          </cell>
          <cell r="B888" t="str">
            <v>SHADHAN SAID NASSER AL KINDI</v>
          </cell>
        </row>
        <row r="889">
          <cell r="A889" t="str">
            <v>09/G0019</v>
          </cell>
          <cell r="B889" t="str">
            <v>AHMED JAMAL ALI AL BALUSHI</v>
          </cell>
        </row>
        <row r="890">
          <cell r="A890" t="str">
            <v>09/G0020</v>
          </cell>
          <cell r="B890" t="str">
            <v>AMUR SAID SALIM AL BALUSHI</v>
          </cell>
        </row>
        <row r="891">
          <cell r="A891" t="str">
            <v>09/G0021</v>
          </cell>
          <cell r="B891" t="str">
            <v>AMAN REIT</v>
          </cell>
        </row>
        <row r="892">
          <cell r="A892" t="str">
            <v>09/G0022</v>
          </cell>
          <cell r="B892" t="str">
            <v>ALI SALIM HAMED AL KASBI</v>
          </cell>
        </row>
        <row r="893">
          <cell r="A893" t="str">
            <v>09/G0023</v>
          </cell>
          <cell r="B893" t="str">
            <v>JAMILA SALEH SALIM AL FAHDI</v>
          </cell>
        </row>
        <row r="894">
          <cell r="A894" t="str">
            <v>09/G0024</v>
          </cell>
          <cell r="B894" t="str">
            <v>WAHEED MURTADHA HABIB AL HAMAID</v>
          </cell>
        </row>
        <row r="895">
          <cell r="A895" t="str">
            <v>09/G0025</v>
          </cell>
          <cell r="B895" t="str">
            <v>MAHA ABDUL HUSAIN GUL MOHAMED AL FADHIL</v>
          </cell>
        </row>
        <row r="896">
          <cell r="A896" t="str">
            <v>09/G0026</v>
          </cell>
          <cell r="B896" t="str">
            <v>HAFIDHA MOHAMED AL GHASSANI</v>
          </cell>
        </row>
        <row r="897">
          <cell r="A897" t="str">
            <v>09/G0027</v>
          </cell>
          <cell r="B897" t="str">
            <v>ABDULLAH YAHYA TALIB AL ANBOORI</v>
          </cell>
        </row>
        <row r="898">
          <cell r="A898" t="str">
            <v>09/G0028</v>
          </cell>
          <cell r="B898" t="str">
            <v>FAISAL MOHAMED ALI RADHI</v>
          </cell>
        </row>
        <row r="899">
          <cell r="A899" t="str">
            <v>09/G0029</v>
          </cell>
          <cell r="B899" t="str">
            <v>FAISAL MOHAMED ALI RADHI</v>
          </cell>
        </row>
        <row r="900">
          <cell r="A900" t="str">
            <v>09/G0030</v>
          </cell>
          <cell r="B900" t="str">
            <v>MUHANNAD ABDUL AMIR SAID</v>
          </cell>
        </row>
        <row r="901">
          <cell r="A901" t="str">
            <v>09/G0031</v>
          </cell>
          <cell r="B901" t="str">
            <v>ALI ABDULLAH ALI AL RAISI</v>
          </cell>
        </row>
        <row r="902">
          <cell r="A902" t="str">
            <v>09/G0032</v>
          </cell>
          <cell r="B902" t="str">
            <v>SAEEDA GHULAM HUSSAIN</v>
          </cell>
        </row>
        <row r="903">
          <cell r="A903" t="str">
            <v>09/G0033</v>
          </cell>
          <cell r="B903" t="str">
            <v>SALIM ALI HOUDI AL MAHRI</v>
          </cell>
        </row>
        <row r="904">
          <cell r="A904" t="str">
            <v>09/G0034</v>
          </cell>
          <cell r="B904" t="str">
            <v>SALIM ALI HOUDI AL MAHRI</v>
          </cell>
        </row>
        <row r="905">
          <cell r="A905" t="str">
            <v>09/G0035</v>
          </cell>
          <cell r="B905" t="str">
            <v>SALIM ALI HOUDI AL MAHRI</v>
          </cell>
        </row>
        <row r="906">
          <cell r="A906" t="str">
            <v>09/G0036</v>
          </cell>
          <cell r="B906" t="str">
            <v>SALIM NASER HAMED AL GHAMMARI</v>
          </cell>
        </row>
        <row r="907">
          <cell r="A907" t="str">
            <v>09/G0037</v>
          </cell>
          <cell r="B907" t="str">
            <v>AALIA HILAL MOHAMMED AL SAADI</v>
          </cell>
        </row>
        <row r="908">
          <cell r="A908" t="str">
            <v>09/G0038</v>
          </cell>
          <cell r="B908" t="str">
            <v>KHALID RASHID SALIM AL KALBANI</v>
          </cell>
        </row>
        <row r="909">
          <cell r="A909" t="str">
            <v>09/G0039</v>
          </cell>
          <cell r="B909" t="str">
            <v>SULAIMAN SAID SULAIMAN SL SHUKAILI</v>
          </cell>
        </row>
        <row r="910">
          <cell r="A910" t="str">
            <v>09/G0040</v>
          </cell>
          <cell r="B910" t="str">
            <v>DAWOOD SULAIMAN NASSER AL BADAAI</v>
          </cell>
        </row>
        <row r="911">
          <cell r="A911" t="str">
            <v>09/G0041</v>
          </cell>
          <cell r="B911" t="str">
            <v>SAIF MOHAMMED AL HINAI</v>
          </cell>
        </row>
        <row r="912">
          <cell r="A912" t="str">
            <v>09/G0042</v>
          </cell>
          <cell r="B912" t="str">
            <v>SAIF MOHAMMED AL HINAI</v>
          </cell>
        </row>
        <row r="913">
          <cell r="A913" t="str">
            <v>09/G0043</v>
          </cell>
          <cell r="B913" t="str">
            <v>MUBARAK HAMED MUBARAK AL MUKHAINI</v>
          </cell>
        </row>
        <row r="914">
          <cell r="A914" t="str">
            <v>09/G0044</v>
          </cell>
          <cell r="B914" t="str">
            <v>ARSHAD RASHID HAMOOD AL DIGHAISHI</v>
          </cell>
        </row>
        <row r="915">
          <cell r="A915" t="str">
            <v>09/G0045</v>
          </cell>
          <cell r="B915" t="str">
            <v>ADHAM SALEH SAID AL MASKARI</v>
          </cell>
        </row>
        <row r="916">
          <cell r="A916" t="str">
            <v>09/G0046</v>
          </cell>
          <cell r="B916" t="str">
            <v>DHARGHAM MANIE THWNY AL SADOUN</v>
          </cell>
        </row>
        <row r="917">
          <cell r="A917" t="str">
            <v>09/G0047</v>
          </cell>
          <cell r="B917" t="str">
            <v>DURED MANIE THWNY AL SADOUN</v>
          </cell>
        </row>
        <row r="918">
          <cell r="A918" t="str">
            <v>09/G0048</v>
          </cell>
          <cell r="B918" t="str">
            <v>AMAN REIT</v>
          </cell>
        </row>
        <row r="919">
          <cell r="A919" t="str">
            <v>09/G0049</v>
          </cell>
          <cell r="B919" t="str">
            <v>NAJEEB AHMED ALLAH BAKHSH AL BALUSHI</v>
          </cell>
        </row>
        <row r="920">
          <cell r="A920" t="str">
            <v>09/G0050</v>
          </cell>
          <cell r="B920" t="str">
            <v>NAJEEB AHMED ALLAH BAKHSH AL BALUSHI</v>
          </cell>
        </row>
        <row r="921">
          <cell r="A921" t="str">
            <v>09/G0051</v>
          </cell>
          <cell r="B921" t="str">
            <v>FAST LEADER L L C</v>
          </cell>
        </row>
        <row r="922">
          <cell r="A922" t="str">
            <v>09/G0052</v>
          </cell>
          <cell r="B922" t="str">
            <v>MUHALLAB ALI AL HABSI</v>
          </cell>
        </row>
        <row r="923">
          <cell r="A923" t="str">
            <v>09/G0053</v>
          </cell>
          <cell r="B923" t="str">
            <v>IMAD KHAMIS SUBAITI BAIT SALEEM</v>
          </cell>
        </row>
        <row r="924">
          <cell r="A924" t="str">
            <v>09/G0054</v>
          </cell>
          <cell r="B924" t="str">
            <v>AMAN REIT</v>
          </cell>
        </row>
        <row r="925">
          <cell r="A925" t="str">
            <v>09/G0055</v>
          </cell>
          <cell r="B925" t="str">
            <v>SALIM SULAIIMAN SALIM AL MANDHARI</v>
          </cell>
        </row>
        <row r="926">
          <cell r="A926" t="str">
            <v>09/G0056</v>
          </cell>
          <cell r="B926" t="str">
            <v>RASHID MOHAMED HAMOOD AL RASHIDI</v>
          </cell>
        </row>
        <row r="927">
          <cell r="A927" t="str">
            <v>09/G0057</v>
          </cell>
          <cell r="B927" t="str">
            <v>Nakhal Ahlia Investment Company SOAC</v>
          </cell>
        </row>
        <row r="928">
          <cell r="A928" t="str">
            <v>09/G0058</v>
          </cell>
          <cell r="B928" t="str">
            <v>Nakhal Ahlia Investment Company SOAC</v>
          </cell>
        </row>
        <row r="929">
          <cell r="A929" t="str">
            <v>10/F0101</v>
          </cell>
          <cell r="B929" t="str">
            <v>RASHID SALIM RASHID MOHAMMED AL HASHIMI</v>
          </cell>
        </row>
        <row r="930">
          <cell r="A930" t="str">
            <v>10/F0102</v>
          </cell>
          <cell r="B930" t="str">
            <v>SALEH ABDULLAH SALEH AL BAHRANI</v>
          </cell>
        </row>
        <row r="931">
          <cell r="A931" t="str">
            <v>10/F0103</v>
          </cell>
          <cell r="B931" t="str">
            <v>MAKASIB REAL ESTATE LLC</v>
          </cell>
        </row>
        <row r="932">
          <cell r="A932" t="str">
            <v>10/F0104</v>
          </cell>
          <cell r="B932" t="str">
            <v>MAKASIB REAL ESTATE LLC</v>
          </cell>
        </row>
        <row r="933">
          <cell r="A933" t="str">
            <v>10/F0105</v>
          </cell>
          <cell r="B933" t="str">
            <v>MAKASIB REAL ESTATE LLC</v>
          </cell>
        </row>
        <row r="934">
          <cell r="A934" t="str">
            <v>10/F0106</v>
          </cell>
          <cell r="B934" t="str">
            <v>MAKASIB REAL ESTATE LLC</v>
          </cell>
        </row>
        <row r="935">
          <cell r="A935" t="str">
            <v>10/F0107</v>
          </cell>
          <cell r="B935" t="str">
            <v>MANSOOR MOHAMED HAMMAD AL HABSI</v>
          </cell>
        </row>
        <row r="936">
          <cell r="A936" t="str">
            <v>10/F0108</v>
          </cell>
          <cell r="B936" t="str">
            <v>MANSOOR MOHAMED HAMMAD AL HABSI</v>
          </cell>
        </row>
        <row r="937">
          <cell r="A937" t="str">
            <v>10/F0109</v>
          </cell>
          <cell r="B937" t="str">
            <v>AHMED AWADH KHALFAN AL KHALILI</v>
          </cell>
        </row>
        <row r="938">
          <cell r="A938" t="str">
            <v>10/F0110</v>
          </cell>
          <cell r="B938" t="str">
            <v>Khalfan Humaid Nasser Al Shuaili</v>
          </cell>
        </row>
        <row r="939">
          <cell r="A939" t="str">
            <v>10/F0111</v>
          </cell>
          <cell r="B939" t="str">
            <v>Mousa Nasser Rashid Al Sabahi</v>
          </cell>
        </row>
        <row r="940">
          <cell r="A940" t="str">
            <v>10/F0112</v>
          </cell>
          <cell r="B940" t="str">
            <v>MAKASIB REAL ESTATE LLC</v>
          </cell>
        </row>
        <row r="941">
          <cell r="A941" t="str">
            <v>10/F0113</v>
          </cell>
          <cell r="B941" t="str">
            <v>MAKASIB REAL ESTATE LLC</v>
          </cell>
        </row>
        <row r="942">
          <cell r="A942" t="str">
            <v>10/F0114</v>
          </cell>
          <cell r="B942" t="str">
            <v>KHALFAN HABIB AL OMAIRI</v>
          </cell>
        </row>
        <row r="943">
          <cell r="A943" t="str">
            <v>10/F0115</v>
          </cell>
          <cell r="B943" t="str">
            <v>KHADIJA HUMAID RASHID AL ATTABI</v>
          </cell>
        </row>
        <row r="944">
          <cell r="A944" t="str">
            <v>10/F0116</v>
          </cell>
          <cell r="B944" t="str">
            <v>YOUSUF HAMED AL SHIBA SULAIMAN AL AAMRI</v>
          </cell>
        </row>
        <row r="945">
          <cell r="A945" t="str">
            <v>10/F0117</v>
          </cell>
          <cell r="B945" t="str">
            <v>IBRAHIM MOHAMED SALIM AL AMRI</v>
          </cell>
        </row>
        <row r="946">
          <cell r="A946" t="str">
            <v>10/F0118</v>
          </cell>
          <cell r="B946" t="str">
            <v>MOHAMED SAID SALIM AL GHAFRI</v>
          </cell>
        </row>
        <row r="947">
          <cell r="A947" t="str">
            <v>10/F0119</v>
          </cell>
          <cell r="B947" t="str">
            <v>KHADIJA HUMAID RASHID AL ATTABI</v>
          </cell>
        </row>
        <row r="948">
          <cell r="A948" t="str">
            <v>10/F0120</v>
          </cell>
          <cell r="B948" t="str">
            <v>SAID AL HABSI</v>
          </cell>
        </row>
        <row r="949">
          <cell r="A949" t="str">
            <v>10/F0121</v>
          </cell>
          <cell r="B949" t="str">
            <v>ISMAIL SALEH AL BALUSHI</v>
          </cell>
        </row>
        <row r="950">
          <cell r="A950" t="str">
            <v>10/F0122</v>
          </cell>
          <cell r="B950" t="str">
            <v>ISMAIL SALEH AL BALUSHI</v>
          </cell>
        </row>
        <row r="951">
          <cell r="A951" t="str">
            <v>10/F0123</v>
          </cell>
          <cell r="B951" t="str">
            <v>NASRA NASSER MOHAMED AL SHARJI</v>
          </cell>
        </row>
        <row r="952">
          <cell r="A952" t="str">
            <v>10/F0124</v>
          </cell>
          <cell r="B952" t="str">
            <v>LUBAN DEVELOPMENT &amp; INVESTMENT LLC</v>
          </cell>
        </row>
        <row r="953">
          <cell r="A953" t="str">
            <v>10/F0125</v>
          </cell>
          <cell r="B953" t="str">
            <v>YOUNIS SULAIMAN SALEH AL TOBI</v>
          </cell>
        </row>
        <row r="954">
          <cell r="A954" t="str">
            <v>10/F0126</v>
          </cell>
          <cell r="B954" t="str">
            <v>IBRAHIM MOHAMMAD THUNAL AL SIYABI</v>
          </cell>
        </row>
        <row r="955">
          <cell r="A955" t="str">
            <v>10/F0127</v>
          </cell>
          <cell r="B955" t="str">
            <v>THURAIYA SHAMIS MOHAMED AL SIYABI</v>
          </cell>
        </row>
        <row r="956">
          <cell r="A956" t="str">
            <v>10/F0128</v>
          </cell>
          <cell r="B956" t="str">
            <v>NAEEMA SAID THUNAI AL SIYABI</v>
          </cell>
        </row>
        <row r="957">
          <cell r="A957" t="str">
            <v>10/F0129</v>
          </cell>
          <cell r="B957" t="str">
            <v>AHMED MOHAMED THUNY AL SIYABI</v>
          </cell>
        </row>
        <row r="958">
          <cell r="A958" t="str">
            <v>10/F0130</v>
          </cell>
          <cell r="B958" t="str">
            <v>SAIF MUHAMMED SAIF AL SUKALILI</v>
          </cell>
        </row>
        <row r="959">
          <cell r="A959" t="str">
            <v>10/F0131</v>
          </cell>
          <cell r="B959" t="str">
            <v>AHMED ABDULLAH SULTAN AL MAHRUQI</v>
          </cell>
        </row>
        <row r="960">
          <cell r="A960" t="str">
            <v>10/F0132</v>
          </cell>
          <cell r="B960" t="str">
            <v>AHMED ABDULLAH SULTAN AL MAHRUQI</v>
          </cell>
        </row>
        <row r="961">
          <cell r="A961" t="str">
            <v>10/F0133</v>
          </cell>
          <cell r="B961" t="str">
            <v>MODERN AL KIYUMI SONS LLC</v>
          </cell>
        </row>
        <row r="962">
          <cell r="A962" t="str">
            <v>10/F0134</v>
          </cell>
          <cell r="B962" t="str">
            <v>SAMI NASSER ALI AL HARTHY</v>
          </cell>
        </row>
        <row r="963">
          <cell r="A963" t="str">
            <v>10/F0135</v>
          </cell>
          <cell r="B963" t="str">
            <v>HAMED SAIF SALIM ISAEE</v>
          </cell>
        </row>
        <row r="964">
          <cell r="A964" t="str">
            <v>10/F0136</v>
          </cell>
          <cell r="B964" t="str">
            <v>YAQOUB SAAD SAID AL MANDHARI</v>
          </cell>
        </row>
        <row r="965">
          <cell r="A965" t="str">
            <v>10/F0137</v>
          </cell>
          <cell r="B965" t="str">
            <v>KHAMIS MOHAMMED ABDULLAH AL DAHMANI</v>
          </cell>
        </row>
        <row r="966">
          <cell r="A966" t="str">
            <v>10/F0138</v>
          </cell>
          <cell r="B966" t="str">
            <v>KHAMIS MOHAMMED ABDULLAH AL DAHMANI</v>
          </cell>
        </row>
        <row r="967">
          <cell r="A967" t="str">
            <v>10/F0139</v>
          </cell>
          <cell r="B967" t="str">
            <v>SAID SALIM ISSA AL SULAIMI</v>
          </cell>
        </row>
        <row r="968">
          <cell r="A968" t="str">
            <v>10/F0140</v>
          </cell>
          <cell r="B968" t="str">
            <v>SAIF KHALIFA SALIM AL KHAMISI</v>
          </cell>
        </row>
        <row r="969">
          <cell r="A969" t="str">
            <v>10/F0141</v>
          </cell>
          <cell r="B969" t="str">
            <v>QAIS MASOUD AMUR AL AAMRI</v>
          </cell>
        </row>
        <row r="970">
          <cell r="A970" t="str">
            <v>10/F0142</v>
          </cell>
          <cell r="B970" t="str">
            <v>GHITHI MASOUD  AMUR ALAMRI</v>
          </cell>
        </row>
        <row r="971">
          <cell r="A971" t="str">
            <v>10/F0143</v>
          </cell>
          <cell r="B971" t="str">
            <v>YOUSUF KHALIFA FADHIL AL HARRASI</v>
          </cell>
        </row>
        <row r="972">
          <cell r="A972" t="str">
            <v>10/F0144</v>
          </cell>
          <cell r="B972" t="str">
            <v>MAKASIB REAL ESTATE LLC</v>
          </cell>
        </row>
        <row r="973">
          <cell r="A973" t="str">
            <v>10/F0145</v>
          </cell>
          <cell r="B973" t="str">
            <v>AHMED SAID KHALFAN AL KHARUSI</v>
          </cell>
        </row>
        <row r="974">
          <cell r="A974" t="str">
            <v>10/F0146</v>
          </cell>
          <cell r="B974" t="str">
            <v>RAYA SAID MUBARAK AL SHANDOUDI</v>
          </cell>
        </row>
        <row r="975">
          <cell r="A975" t="str">
            <v>10/F0147</v>
          </cell>
          <cell r="B975" t="str">
            <v>Yousuf Faris Yousuf Eid</v>
          </cell>
        </row>
        <row r="976">
          <cell r="A976" t="str">
            <v>10/F0148</v>
          </cell>
          <cell r="B976" t="str">
            <v>LUBAN DEVELOPMENT &amp; INVESTMENT LLC</v>
          </cell>
        </row>
        <row r="977">
          <cell r="A977" t="str">
            <v>10/G0001</v>
          </cell>
          <cell r="B977" t="str">
            <v>AMAN REIT</v>
          </cell>
        </row>
        <row r="978">
          <cell r="A978" t="str">
            <v>10/G0002</v>
          </cell>
          <cell r="B978" t="str">
            <v>AMAN REIT</v>
          </cell>
        </row>
        <row r="979">
          <cell r="A979" t="str">
            <v>10/G0003</v>
          </cell>
          <cell r="B979" t="str">
            <v>NAWAL HAMED HAMID AL HOOTI</v>
          </cell>
        </row>
        <row r="980">
          <cell r="A980" t="str">
            <v>10/G0004</v>
          </cell>
          <cell r="B980" t="str">
            <v>NAWAL HAMED HAMID AL HOOTI</v>
          </cell>
        </row>
        <row r="981">
          <cell r="A981" t="str">
            <v>10/G0005</v>
          </cell>
          <cell r="B981" t="str">
            <v>Al MUTHER MOHAMED ALI AL WAHAIBI</v>
          </cell>
        </row>
        <row r="982">
          <cell r="A982" t="str">
            <v>10/G0006</v>
          </cell>
          <cell r="B982" t="str">
            <v>SAIF SULAIMAN HAMOOD AL HARTHY</v>
          </cell>
        </row>
        <row r="983">
          <cell r="A983" t="str">
            <v>10/G0007</v>
          </cell>
          <cell r="B983" t="str">
            <v>AHMED SALIM ISSA AL SULAIMI</v>
          </cell>
        </row>
        <row r="984">
          <cell r="A984" t="str">
            <v>10/G0008</v>
          </cell>
          <cell r="B984" t="str">
            <v>MUNA ALI RASHID AL RUQAISHI</v>
          </cell>
        </row>
        <row r="985">
          <cell r="A985" t="str">
            <v>10/G0009</v>
          </cell>
          <cell r="B985" t="str">
            <v>AL SAYYID KHALIL MAHFOODH SALIM AL BUSAIDI</v>
          </cell>
        </row>
        <row r="986">
          <cell r="A986" t="str">
            <v>10/G0010</v>
          </cell>
          <cell r="B986" t="str">
            <v>SULTAN ALI MANSOOR AL SULAIMI</v>
          </cell>
        </row>
        <row r="987">
          <cell r="A987" t="str">
            <v>10/G0011</v>
          </cell>
          <cell r="B987" t="str">
            <v>RASHID HUMAID RASHID AL SHEKALI</v>
          </cell>
        </row>
        <row r="988">
          <cell r="A988" t="str">
            <v>10/G0012</v>
          </cell>
          <cell r="B988" t="str">
            <v>MAHER ALAWI ABDULLAH AL MURAZA BA ABOOD</v>
          </cell>
        </row>
        <row r="989">
          <cell r="A989" t="str">
            <v>10/G0013</v>
          </cell>
          <cell r="B989" t="str">
            <v>KHALIFA HAMED ALFARSI</v>
          </cell>
        </row>
        <row r="990">
          <cell r="A990" t="str">
            <v>10/G0014</v>
          </cell>
          <cell r="B990" t="str">
            <v>KHALFAN HABIB AL OMAIRI</v>
          </cell>
        </row>
        <row r="991">
          <cell r="A991" t="str">
            <v>10/G0015</v>
          </cell>
          <cell r="B991" t="str">
            <v>MODERN AL KIYUMI SONS LLC</v>
          </cell>
        </row>
        <row r="992">
          <cell r="A992" t="str">
            <v>10/G0016</v>
          </cell>
          <cell r="B992" t="str">
            <v>IBRAHIM SAID DARWISH AL RIYAMI</v>
          </cell>
        </row>
        <row r="993">
          <cell r="A993" t="str">
            <v>10/G0017</v>
          </cell>
          <cell r="B993" t="str">
            <v>AMAN REIT</v>
          </cell>
        </row>
        <row r="994">
          <cell r="A994" t="str">
            <v>10/G0018</v>
          </cell>
          <cell r="B994" t="str">
            <v>SULAIMAN SALIM ISSA AL SULAIMI</v>
          </cell>
        </row>
        <row r="995">
          <cell r="A995" t="str">
            <v>10/G0019</v>
          </cell>
          <cell r="B995" t="str">
            <v>MOHAMED SALIM ISSA AL SULAIMI</v>
          </cell>
        </row>
        <row r="996">
          <cell r="A996" t="str">
            <v>10/G0020</v>
          </cell>
          <cell r="B996" t="str">
            <v>RASHID HUMAID RASHID AL SHEKALI</v>
          </cell>
        </row>
        <row r="997">
          <cell r="A997" t="str">
            <v>10/G0021</v>
          </cell>
          <cell r="B997" t="str">
            <v>AMAN REIT</v>
          </cell>
        </row>
        <row r="998">
          <cell r="A998" t="str">
            <v>10/G0022</v>
          </cell>
          <cell r="B998" t="str">
            <v>AMAN REIT</v>
          </cell>
        </row>
        <row r="999">
          <cell r="A999" t="str">
            <v>10/G0023</v>
          </cell>
          <cell r="B999" t="str">
            <v>DAD KARIM MOHAMED ABDUL RAHMAN AL ZADJALI</v>
          </cell>
        </row>
        <row r="1000">
          <cell r="A1000" t="str">
            <v>10/G0024</v>
          </cell>
          <cell r="B1000" t="str">
            <v>MANAA KHALFAN THANI AL JABRI</v>
          </cell>
        </row>
        <row r="1001">
          <cell r="A1001" t="str">
            <v>10/G0025</v>
          </cell>
          <cell r="B1001" t="str">
            <v>NASRA NASSER MOHAMED AL SHARJI</v>
          </cell>
        </row>
        <row r="1002">
          <cell r="A1002" t="str">
            <v>10/G0026</v>
          </cell>
          <cell r="B1002" t="str">
            <v>AL QASIM MOHAMED AHMED AL HARTHI</v>
          </cell>
        </row>
        <row r="1003">
          <cell r="A1003" t="str">
            <v>10/G0027</v>
          </cell>
          <cell r="B1003" t="str">
            <v>KHALID MOHAMED AHMED AL HARTHI</v>
          </cell>
        </row>
        <row r="1004">
          <cell r="A1004" t="str">
            <v>10/G0028</v>
          </cell>
          <cell r="B1004" t="str">
            <v>SULIMAN MOHAMED AHMED AL HARTHI</v>
          </cell>
        </row>
        <row r="1005">
          <cell r="A1005" t="str">
            <v>10/G0029</v>
          </cell>
          <cell r="B1005" t="str">
            <v>IBRAHIM MOHAMMAD THUNAL AL SIYABI</v>
          </cell>
        </row>
        <row r="1006">
          <cell r="A1006" t="str">
            <v>10/G0030</v>
          </cell>
          <cell r="B1006" t="str">
            <v>IBRAHIM MOHAMMAD THUNAL AL SIYABI</v>
          </cell>
        </row>
        <row r="1007">
          <cell r="A1007" t="str">
            <v>10/G0031</v>
          </cell>
          <cell r="B1007" t="str">
            <v>AHMED MOHAMED THUNY AL SIYABI</v>
          </cell>
        </row>
        <row r="1008">
          <cell r="A1008" t="str">
            <v>10/G0032</v>
          </cell>
          <cell r="B1008" t="str">
            <v>NAEEMA SAID THUNAI AL SIYABI</v>
          </cell>
        </row>
        <row r="1009">
          <cell r="A1009" t="str">
            <v>10/G0033</v>
          </cell>
          <cell r="B1009" t="str">
            <v>AHMED MOHAMMED MOHSIN AL RASHDI</v>
          </cell>
        </row>
        <row r="1010">
          <cell r="A1010" t="str">
            <v>10/G0034</v>
          </cell>
          <cell r="B1010" t="str">
            <v>AHMED SAID SALIM AL AWFI</v>
          </cell>
        </row>
        <row r="1011">
          <cell r="A1011" t="str">
            <v>10/G0035</v>
          </cell>
          <cell r="B1011" t="str">
            <v>AHMED ABDULLAH SULTAN AL MAHRUQI</v>
          </cell>
        </row>
        <row r="1012">
          <cell r="A1012" t="str">
            <v>10/G0036</v>
          </cell>
          <cell r="B1012" t="str">
            <v>SAID SALIM MASAAOD AL RUBAII</v>
          </cell>
        </row>
        <row r="1013">
          <cell r="A1013" t="str">
            <v>10/G0037</v>
          </cell>
          <cell r="B1013" t="str">
            <v>MUKHTAR HAMED SULAIMAN AL HINAI</v>
          </cell>
        </row>
        <row r="1014">
          <cell r="A1014" t="str">
            <v>10/G0038</v>
          </cell>
          <cell r="B1014" t="str">
            <v>MODERN AL KIYUMI SONS LLC</v>
          </cell>
        </row>
        <row r="1015">
          <cell r="A1015" t="str">
            <v>10/G0039</v>
          </cell>
          <cell r="B1015" t="str">
            <v>YAQOUB SAAD SAID AL MANDHARI</v>
          </cell>
        </row>
        <row r="1016">
          <cell r="A1016" t="str">
            <v>10/G0040</v>
          </cell>
          <cell r="B1016" t="str">
            <v>KHALID SAID MAJID AL MAAMARI</v>
          </cell>
        </row>
        <row r="1017">
          <cell r="A1017" t="str">
            <v>10/G0041</v>
          </cell>
          <cell r="B1017" t="str">
            <v>KHALID SAID MAJID AL MAAMARI</v>
          </cell>
        </row>
        <row r="1018">
          <cell r="A1018" t="str">
            <v>10/G0042</v>
          </cell>
          <cell r="B1018" t="str">
            <v>SAID SALIM ISSA AL SULAIMI</v>
          </cell>
        </row>
        <row r="1019">
          <cell r="A1019" t="str">
            <v>10/G0043</v>
          </cell>
          <cell r="B1019" t="str">
            <v>HAFIDH NASSER MOHAMMED AL SIYABI</v>
          </cell>
        </row>
        <row r="1020">
          <cell r="A1020" t="str">
            <v>10/G0044</v>
          </cell>
          <cell r="B1020" t="str">
            <v>NASSER HAMED ABDULLAH AL SULIMANI</v>
          </cell>
        </row>
        <row r="1021">
          <cell r="A1021" t="str">
            <v>10/G0045</v>
          </cell>
          <cell r="B1021" t="str">
            <v>AHMED SAID KHALFAN AL KHARUSI</v>
          </cell>
        </row>
        <row r="1022">
          <cell r="A1022" t="str">
            <v>10/G0046</v>
          </cell>
          <cell r="B1022" t="str">
            <v>SAUD ABDULLA MOHAMMED AL AGHBARI</v>
          </cell>
        </row>
        <row r="1023">
          <cell r="A1023" t="str">
            <v>10/G0047</v>
          </cell>
          <cell r="B1023" t="str">
            <v>BADAR MOHAMMED KHAMIS AL SHANDUDI</v>
          </cell>
        </row>
        <row r="1024">
          <cell r="A1024" t="str">
            <v>10/G0048</v>
          </cell>
          <cell r="B1024" t="str">
            <v>SALEEM MOHAMMED KHAMIS AL SHANDOUDI</v>
          </cell>
        </row>
        <row r="1025">
          <cell r="A1025" t="str">
            <v>10/G0049</v>
          </cell>
          <cell r="B1025" t="str">
            <v>SALEEM MOHAMMED KHAMIS AL SHANDOUDI</v>
          </cell>
        </row>
        <row r="1026">
          <cell r="A1026" t="str">
            <v>10/G0050</v>
          </cell>
          <cell r="B1026" t="str">
            <v>MUNIRA MOHAMMED SALIM MOHAMMED AL SHARIF</v>
          </cell>
        </row>
        <row r="1027">
          <cell r="A1027" t="str">
            <v>10/G0051</v>
          </cell>
          <cell r="B1027" t="str">
            <v>AMAN REIT</v>
          </cell>
        </row>
        <row r="1028">
          <cell r="A1028" t="str">
            <v>10/G0052</v>
          </cell>
          <cell r="B1028" t="str">
            <v>NADA SALIM SULAYUAM AL WAHAIBI</v>
          </cell>
        </row>
        <row r="1029">
          <cell r="A1029" t="str">
            <v>10/G0053</v>
          </cell>
          <cell r="B1029" t="str">
            <v>AMAN REIT</v>
          </cell>
        </row>
        <row r="1030">
          <cell r="A1030" t="str">
            <v>10/G0054</v>
          </cell>
          <cell r="B1030" t="str">
            <v>AMAN REIT</v>
          </cell>
        </row>
        <row r="1031">
          <cell r="A1031" t="str">
            <v>10/G0055</v>
          </cell>
          <cell r="B1031" t="str">
            <v>AMAN REIT</v>
          </cell>
        </row>
        <row r="1032">
          <cell r="A1032" t="str">
            <v>10/G0056</v>
          </cell>
          <cell r="B1032" t="str">
            <v>AMAN REIT</v>
          </cell>
        </row>
        <row r="1033">
          <cell r="A1033" t="str">
            <v>11/F0101</v>
          </cell>
          <cell r="B1033" t="str">
            <v>LUBAN DEVELOPMENT &amp; INVESTMENT LLC</v>
          </cell>
        </row>
        <row r="1034">
          <cell r="A1034" t="str">
            <v>11/F0102</v>
          </cell>
          <cell r="B1034" t="str">
            <v>SHABIB SULAIMAN HAMOOD AL MAHREZI</v>
          </cell>
        </row>
        <row r="1035">
          <cell r="A1035" t="str">
            <v>11/F0103</v>
          </cell>
          <cell r="B1035" t="str">
            <v>IMAN KHALFAN AL SABAHI</v>
          </cell>
        </row>
        <row r="1036">
          <cell r="A1036" t="str">
            <v>11/F0104</v>
          </cell>
          <cell r="B1036" t="str">
            <v>MAKASIB REAL ESTATE LLC</v>
          </cell>
        </row>
        <row r="1037">
          <cell r="A1037" t="str">
            <v>11/F0105</v>
          </cell>
          <cell r="B1037" t="str">
            <v>MAKASIB REAL ESTATE LLC</v>
          </cell>
        </row>
        <row r="1038">
          <cell r="A1038" t="str">
            <v>11/F0106</v>
          </cell>
          <cell r="B1038" t="str">
            <v>MAKASIB REAL ESTATE LLC</v>
          </cell>
        </row>
        <row r="1039">
          <cell r="A1039" t="str">
            <v>11/F0107</v>
          </cell>
          <cell r="B1039" t="str">
            <v>MAKASIB REAL ESTATE LLC</v>
          </cell>
        </row>
        <row r="1040">
          <cell r="A1040" t="str">
            <v>11/F0108</v>
          </cell>
          <cell r="B1040" t="str">
            <v>SAMEER HAMED NASSER AL SIYABI</v>
          </cell>
        </row>
        <row r="1041">
          <cell r="A1041" t="str">
            <v>11/F0109</v>
          </cell>
          <cell r="B1041" t="str">
            <v>MAKASIB REAL ESTATE LLC</v>
          </cell>
        </row>
        <row r="1042">
          <cell r="A1042" t="str">
            <v>11/F0110</v>
          </cell>
          <cell r="B1042" t="str">
            <v>MAKASIB REAL ESTATE LLC</v>
          </cell>
        </row>
        <row r="1043">
          <cell r="A1043" t="str">
            <v>11/F0111</v>
          </cell>
          <cell r="B1043" t="str">
            <v>MAKASIB REAL ESTATE LLC</v>
          </cell>
        </row>
        <row r="1044">
          <cell r="A1044" t="str">
            <v>11/F0112</v>
          </cell>
          <cell r="B1044" t="str">
            <v>MAKASIB REAL ESTATE LLC</v>
          </cell>
        </row>
        <row r="1045">
          <cell r="A1045" t="str">
            <v>11/F0113</v>
          </cell>
          <cell r="B1045" t="str">
            <v>MAKASIB REAL ESTATE LLC</v>
          </cell>
        </row>
        <row r="1046">
          <cell r="A1046" t="str">
            <v>11/F0114</v>
          </cell>
          <cell r="B1046" t="str">
            <v>MAKASIB REAL ESTATE LLC</v>
          </cell>
        </row>
        <row r="1047">
          <cell r="A1047" t="str">
            <v>11/F0115</v>
          </cell>
          <cell r="B1047" t="str">
            <v>MAKASIB REAL ESTATE LLC</v>
          </cell>
        </row>
        <row r="1048">
          <cell r="A1048" t="str">
            <v>11/F0116</v>
          </cell>
          <cell r="B1048" t="str">
            <v>MAKASIB REAL ESTATE LLC</v>
          </cell>
        </row>
        <row r="1049">
          <cell r="A1049" t="str">
            <v>11/F0117</v>
          </cell>
          <cell r="B1049" t="str">
            <v>MANSOOR MOHAMED HAMMAD AL HABSI</v>
          </cell>
        </row>
        <row r="1050">
          <cell r="A1050" t="str">
            <v>11/F0118</v>
          </cell>
          <cell r="B1050" t="str">
            <v>Ibrahim Khalfan Al Muslhi</v>
          </cell>
        </row>
        <row r="1051">
          <cell r="A1051" t="str">
            <v>11/F0119</v>
          </cell>
          <cell r="B1051" t="str">
            <v>Hamood Abdullah Ahmed Al Kindi</v>
          </cell>
        </row>
        <row r="1052">
          <cell r="A1052" t="str">
            <v>11/F0120</v>
          </cell>
          <cell r="B1052" t="str">
            <v>IMAN MALIK IBRAHIM AL KINDI</v>
          </cell>
        </row>
        <row r="1053">
          <cell r="A1053" t="str">
            <v>11/F0121</v>
          </cell>
          <cell r="B1053" t="str">
            <v>MAKASIB REAL ESTATE LLC</v>
          </cell>
        </row>
        <row r="1054">
          <cell r="A1054" t="str">
            <v>11/F0122</v>
          </cell>
          <cell r="B1054" t="str">
            <v>AHMED MOHAMMED SALIM RAWAHI</v>
          </cell>
        </row>
        <row r="1055">
          <cell r="A1055" t="str">
            <v>11/F0123</v>
          </cell>
          <cell r="B1055" t="str">
            <v>SANDAN PARTNER</v>
          </cell>
        </row>
        <row r="1056">
          <cell r="A1056" t="str">
            <v>11/F0124</v>
          </cell>
          <cell r="B1056" t="str">
            <v>IMAN MALIK IBRAHIM AL KINDI</v>
          </cell>
        </row>
        <row r="1057">
          <cell r="A1057" t="str">
            <v>11/F0125</v>
          </cell>
          <cell r="B1057" t="str">
            <v>MAKASIB REAL ESTATE LLC</v>
          </cell>
        </row>
        <row r="1058">
          <cell r="A1058" t="str">
            <v>11/F0126</v>
          </cell>
          <cell r="B1058" t="str">
            <v>MAKASIB REAL ESTATE LLC</v>
          </cell>
        </row>
        <row r="1059">
          <cell r="A1059" t="str">
            <v>11/F0127</v>
          </cell>
          <cell r="B1059" t="str">
            <v>MAKASIB REAL ESTATE LLC</v>
          </cell>
        </row>
        <row r="1060">
          <cell r="A1060" t="str">
            <v>11/F0128</v>
          </cell>
          <cell r="B1060" t="str">
            <v>KHALID MAHFOODH SULAIMAN AL AMRI</v>
          </cell>
        </row>
        <row r="1061">
          <cell r="A1061" t="str">
            <v>11/F0129</v>
          </cell>
          <cell r="B1061" t="str">
            <v>BADAR HILAL MOHAMED AL AMRI</v>
          </cell>
        </row>
        <row r="1062">
          <cell r="A1062" t="str">
            <v>11/F0130</v>
          </cell>
          <cell r="B1062" t="str">
            <v>MANSOOR MOHAMED HAMMAD AL HABSI</v>
          </cell>
        </row>
        <row r="1063">
          <cell r="A1063" t="str">
            <v>11/F0131</v>
          </cell>
          <cell r="B1063" t="str">
            <v>KHALID KHALFAN ABDULLAH AL HADDABI</v>
          </cell>
        </row>
        <row r="1064">
          <cell r="A1064" t="str">
            <v>11/F0132</v>
          </cell>
          <cell r="B1064" t="str">
            <v>KHALID KHALFAN ABDULLAH AL HADDABI</v>
          </cell>
        </row>
        <row r="1065">
          <cell r="A1065" t="str">
            <v>11/F0133</v>
          </cell>
          <cell r="B1065" t="str">
            <v>MAKASIB REAL ESTATE LLC</v>
          </cell>
        </row>
        <row r="1066">
          <cell r="A1066" t="str">
            <v>11/F0134</v>
          </cell>
          <cell r="B1066" t="str">
            <v>MAKASIB REAL ESTATE LLC</v>
          </cell>
        </row>
        <row r="1067">
          <cell r="A1067" t="str">
            <v>11/F0135</v>
          </cell>
          <cell r="B1067" t="str">
            <v>MAKASIB REAL ESTATE LLC</v>
          </cell>
        </row>
        <row r="1068">
          <cell r="A1068" t="str">
            <v>11/F0136</v>
          </cell>
          <cell r="B1068" t="str">
            <v>MAKASIB REAL ESTATE LLC</v>
          </cell>
        </row>
        <row r="1069">
          <cell r="A1069" t="str">
            <v>11/F0137</v>
          </cell>
          <cell r="B1069" t="str">
            <v>MAKASIB REAL ESTATE LLC</v>
          </cell>
        </row>
        <row r="1070">
          <cell r="A1070" t="str">
            <v>11/F0138</v>
          </cell>
          <cell r="B1070" t="str">
            <v>MAKASIB REAL ESTATE LLC</v>
          </cell>
        </row>
        <row r="1071">
          <cell r="A1071" t="str">
            <v>11/F0139</v>
          </cell>
          <cell r="B1071" t="str">
            <v>MAKASIB REAL ESTATE LLC</v>
          </cell>
        </row>
        <row r="1072">
          <cell r="A1072" t="str">
            <v>11/F0140</v>
          </cell>
          <cell r="B1072" t="str">
            <v>MAKASIB REAL ESTATE LLC</v>
          </cell>
        </row>
        <row r="1073">
          <cell r="A1073" t="str">
            <v>11/F0141</v>
          </cell>
          <cell r="B1073" t="str">
            <v>BADAR KHALID BADAR AL MAZROUL</v>
          </cell>
        </row>
        <row r="1074">
          <cell r="A1074" t="str">
            <v>11/F0142</v>
          </cell>
          <cell r="B1074" t="str">
            <v>MAKASIB REAL ESTATE LLC</v>
          </cell>
        </row>
        <row r="1075">
          <cell r="A1075" t="str">
            <v>11/F0143</v>
          </cell>
          <cell r="B1075" t="str">
            <v>MAKASIB REAL ESTATE LLC</v>
          </cell>
        </row>
        <row r="1076">
          <cell r="A1076" t="str">
            <v>11/F0144</v>
          </cell>
          <cell r="B1076" t="str">
            <v>MAKASIB REAL ESTATE LLC</v>
          </cell>
        </row>
        <row r="1077">
          <cell r="A1077" t="str">
            <v>11/F0145</v>
          </cell>
          <cell r="B1077" t="str">
            <v>DAWOD SULAIMAN HAMOOD AMUR ALMAHREZI</v>
          </cell>
        </row>
        <row r="1078">
          <cell r="A1078" t="str">
            <v>11/F0146</v>
          </cell>
          <cell r="B1078" t="str">
            <v>LUBAN DEVELOPMENT &amp; INVESTMENT LLC</v>
          </cell>
        </row>
        <row r="1079">
          <cell r="A1079" t="str">
            <v>11/F0147</v>
          </cell>
          <cell r="B1079" t="str">
            <v>HAMED SAOUD SULAIMAN AL MAZROOI</v>
          </cell>
        </row>
        <row r="1080">
          <cell r="A1080" t="str">
            <v>11/F0148</v>
          </cell>
          <cell r="B1080" t="str">
            <v>SAIF ABDULLAH SAIF AL HOSINI</v>
          </cell>
        </row>
        <row r="1081">
          <cell r="A1081" t="str">
            <v>11/F0149</v>
          </cell>
          <cell r="B1081" t="str">
            <v xml:space="preserve">Ibrahim Ahmed Mohammed </v>
          </cell>
        </row>
        <row r="1082">
          <cell r="A1082" t="str">
            <v>11/F0150</v>
          </cell>
          <cell r="B1082" t="str">
            <v>SAID ABDU LLAH SAID AL MASROORI</v>
          </cell>
        </row>
        <row r="1083">
          <cell r="A1083" t="str">
            <v>11/F0151</v>
          </cell>
          <cell r="B1083" t="str">
            <v>Naser Hilal Mohammed Al Rawahi</v>
          </cell>
        </row>
        <row r="1084">
          <cell r="A1084" t="str">
            <v>11/F0152</v>
          </cell>
          <cell r="B1084" t="str">
            <v>Naser Hilal Mohammed Al Rawahi</v>
          </cell>
        </row>
        <row r="1085">
          <cell r="A1085" t="str">
            <v>11/F0153</v>
          </cell>
          <cell r="B1085" t="str">
            <v>Haitham Said Mubarak Al Hosni</v>
          </cell>
        </row>
        <row r="1086">
          <cell r="A1086" t="str">
            <v>11/F0154</v>
          </cell>
          <cell r="B1086" t="str">
            <v>Ahmed Saidf Khalfan Al Habsi</v>
          </cell>
        </row>
        <row r="1087">
          <cell r="A1087" t="str">
            <v>11/F0155</v>
          </cell>
          <cell r="B1087" t="str">
            <v>SALIM HUMAID MOHAMMED AL BAHRI</v>
          </cell>
        </row>
        <row r="1088">
          <cell r="A1088" t="str">
            <v>11/F0156</v>
          </cell>
          <cell r="B1088" t="str">
            <v>SALIM HUMAID MOHAMMED AL BAHRI</v>
          </cell>
        </row>
        <row r="1089">
          <cell r="A1089" t="str">
            <v>11/G0001</v>
          </cell>
          <cell r="B1089" t="str">
            <v>Salah KH M Al Jemaz</v>
          </cell>
        </row>
        <row r="1090">
          <cell r="A1090" t="str">
            <v>11/G0002</v>
          </cell>
          <cell r="B1090" t="str">
            <v>JAIFAR AHMED RASHID AL MAMARI</v>
          </cell>
        </row>
        <row r="1091">
          <cell r="A1091" t="str">
            <v>11/G0003</v>
          </cell>
          <cell r="B1091" t="str">
            <v>JAIFAR AHMED RASHID AL MAMARI</v>
          </cell>
        </row>
        <row r="1092">
          <cell r="A1092" t="str">
            <v>11/G0004</v>
          </cell>
          <cell r="B1092" t="str">
            <v>JAIFAR AHMED RASHID AL MAMARI</v>
          </cell>
        </row>
        <row r="1093">
          <cell r="A1093" t="str">
            <v>11/G0005</v>
          </cell>
          <cell r="B1093" t="str">
            <v>AMAN REIT</v>
          </cell>
        </row>
        <row r="1094">
          <cell r="A1094" t="str">
            <v>11/G0006</v>
          </cell>
          <cell r="B1094" t="str">
            <v>AMAN REIT</v>
          </cell>
        </row>
        <row r="1095">
          <cell r="A1095" t="str">
            <v>11/G0007</v>
          </cell>
          <cell r="B1095" t="str">
            <v>AMAN REIT</v>
          </cell>
        </row>
        <row r="1096">
          <cell r="A1096" t="str">
            <v>11/G0008</v>
          </cell>
          <cell r="B1096" t="str">
            <v>SAMEER HAMED NASSER AL SIYABI</v>
          </cell>
        </row>
        <row r="1097">
          <cell r="A1097" t="str">
            <v>11/G0009</v>
          </cell>
          <cell r="B1097" t="str">
            <v>ALI ABDULLAH SAID AL RAWAHI</v>
          </cell>
        </row>
        <row r="1098">
          <cell r="A1098" t="str">
            <v>11/G0010</v>
          </cell>
          <cell r="B1098" t="str">
            <v>ADNAN MUSALLAM SAIF AL SHIBLI</v>
          </cell>
        </row>
        <row r="1099">
          <cell r="A1099" t="str">
            <v>11/G0011</v>
          </cell>
          <cell r="B1099" t="str">
            <v>TALAL KHALIFA SAID AL HOSNI</v>
          </cell>
        </row>
        <row r="1100">
          <cell r="A1100" t="str">
            <v>11/G0012</v>
          </cell>
          <cell r="B1100" t="str">
            <v>AHMED KHALIFA SAID AL HOSNI</v>
          </cell>
        </row>
        <row r="1101">
          <cell r="A1101" t="str">
            <v>11/G0013</v>
          </cell>
          <cell r="B1101" t="str">
            <v>HAFIDH AHMED HAMOOD AL HASHMI</v>
          </cell>
        </row>
        <row r="1102">
          <cell r="A1102" t="str">
            <v>11/G0014</v>
          </cell>
          <cell r="B1102" t="str">
            <v>MONTASIR AHMED HAMOOD AL HASHIMI</v>
          </cell>
        </row>
        <row r="1103">
          <cell r="A1103" t="str">
            <v>11/G0015</v>
          </cell>
          <cell r="B1103" t="str">
            <v>AHMED HAMOOD MOHAMED AL HASHIMI</v>
          </cell>
        </row>
        <row r="1104">
          <cell r="A1104" t="str">
            <v>11/G0016</v>
          </cell>
          <cell r="B1104" t="str">
            <v>AMAN REIT</v>
          </cell>
        </row>
        <row r="1105">
          <cell r="A1105" t="str">
            <v>11/G0017</v>
          </cell>
          <cell r="B1105" t="str">
            <v>AMAN REIT</v>
          </cell>
        </row>
        <row r="1106">
          <cell r="A1106" t="str">
            <v>11/G0018</v>
          </cell>
          <cell r="B1106" t="str">
            <v>AMAN REIT</v>
          </cell>
        </row>
        <row r="1107">
          <cell r="A1107" t="str">
            <v>11/G0019</v>
          </cell>
          <cell r="B1107" t="str">
            <v>AMAN REIT</v>
          </cell>
        </row>
        <row r="1108">
          <cell r="A1108" t="str">
            <v>11/G0020</v>
          </cell>
          <cell r="B1108" t="str">
            <v>AMAN REIT</v>
          </cell>
        </row>
        <row r="1109">
          <cell r="A1109" t="str">
            <v>11/G0021</v>
          </cell>
          <cell r="B1109" t="str">
            <v>AMAN REIT</v>
          </cell>
        </row>
        <row r="1110">
          <cell r="A1110" t="str">
            <v>11/G0022</v>
          </cell>
          <cell r="B1110" t="str">
            <v>AMAN REIT</v>
          </cell>
        </row>
        <row r="1111">
          <cell r="A1111" t="str">
            <v>11/G0023</v>
          </cell>
          <cell r="B1111" t="str">
            <v>AMAN REIT</v>
          </cell>
        </row>
        <row r="1112">
          <cell r="A1112" t="str">
            <v>11/G0024</v>
          </cell>
          <cell r="B1112" t="str">
            <v>AMAN REIT</v>
          </cell>
        </row>
        <row r="1113">
          <cell r="A1113" t="str">
            <v>11/G0025</v>
          </cell>
          <cell r="B1113" t="str">
            <v>MATAR SAID NASSER AL SAIDI</v>
          </cell>
        </row>
        <row r="1114">
          <cell r="A1114" t="str">
            <v>11/G0026</v>
          </cell>
          <cell r="B1114" t="str">
            <v>AMAN REIT</v>
          </cell>
        </row>
        <row r="1115">
          <cell r="A1115" t="str">
            <v>11/G0027</v>
          </cell>
          <cell r="B1115" t="str">
            <v>AMAN REIT</v>
          </cell>
        </row>
        <row r="1116">
          <cell r="A1116" t="str">
            <v>11/G0028</v>
          </cell>
          <cell r="B1116" t="str">
            <v>MARWAN ALI AL ZADJALI</v>
          </cell>
        </row>
        <row r="1117">
          <cell r="A1117" t="str">
            <v>11/G0029</v>
          </cell>
          <cell r="B1117" t="str">
            <v>Ahmed Adbulla Said Al Rawahi</v>
          </cell>
        </row>
        <row r="1118">
          <cell r="A1118" t="str">
            <v>11/G0030</v>
          </cell>
          <cell r="B1118" t="str">
            <v>KHALID KHALFAN ABDULLAH AL HADDABI</v>
          </cell>
        </row>
        <row r="1119">
          <cell r="A1119" t="str">
            <v>11/G0031</v>
          </cell>
          <cell r="B1119" t="str">
            <v>KHALID KHALFAN ABDULLAH AL HADDABI</v>
          </cell>
        </row>
        <row r="1120">
          <cell r="A1120" t="str">
            <v>11/G0032</v>
          </cell>
          <cell r="B1120" t="str">
            <v>BADAR KHALID BADAR AL MAZROUL</v>
          </cell>
        </row>
        <row r="1121">
          <cell r="A1121" t="str">
            <v>11/G0033</v>
          </cell>
          <cell r="B1121" t="str">
            <v>KHALID NASSER SAID AL RIYAMI</v>
          </cell>
        </row>
        <row r="1122">
          <cell r="A1122" t="str">
            <v>11/G0034</v>
          </cell>
          <cell r="B1122" t="str">
            <v>SAUD NASSER KHALFAN AL RIYAMI</v>
          </cell>
        </row>
        <row r="1123">
          <cell r="A1123" t="str">
            <v>11/G0035</v>
          </cell>
          <cell r="B1123" t="str">
            <v>SAUD SALIM AMUR KHALFAN AL HABSI</v>
          </cell>
        </row>
        <row r="1124">
          <cell r="A1124" t="str">
            <v>11/G0036</v>
          </cell>
          <cell r="B1124" t="str">
            <v>SAUD SALIM AMUR KHALFAN AL HABSI</v>
          </cell>
        </row>
        <row r="1125">
          <cell r="A1125" t="str">
            <v>11/G0037</v>
          </cell>
          <cell r="B1125" t="str">
            <v>DAWOOD SULAIMAN NASSER AL QASSABI</v>
          </cell>
        </row>
        <row r="1126">
          <cell r="A1126" t="str">
            <v>11/G0038</v>
          </cell>
          <cell r="B1126" t="str">
            <v>NASSER HAMED SULTAN AL HABSI</v>
          </cell>
        </row>
        <row r="1127">
          <cell r="A1127" t="str">
            <v>11/G0039</v>
          </cell>
          <cell r="B1127" t="str">
            <v>SAIF ABDULLAH SAIF AL HOSINI</v>
          </cell>
        </row>
        <row r="1128">
          <cell r="A1128" t="str">
            <v>11/G0040</v>
          </cell>
          <cell r="B1128" t="str">
            <v>SAID ABDU LLAH SAID AL MASROORI</v>
          </cell>
        </row>
        <row r="1129">
          <cell r="A1129" t="str">
            <v>11/G0041</v>
          </cell>
          <cell r="B1129" t="str">
            <v>ABBAS ABDULAH SALEH AL BAHRANI</v>
          </cell>
        </row>
        <row r="1130">
          <cell r="A1130" t="str">
            <v>11/G0042</v>
          </cell>
          <cell r="B1130" t="str">
            <v>AMAN REIT</v>
          </cell>
        </row>
        <row r="1131">
          <cell r="A1131" t="str">
            <v>11/G0043</v>
          </cell>
          <cell r="B1131" t="str">
            <v>AMAN REIT</v>
          </cell>
        </row>
        <row r="1132">
          <cell r="A1132" t="str">
            <v>11/G0044</v>
          </cell>
          <cell r="B1132" t="str">
            <v>SALIM HUMAID MOHAMMED AL BAHRI</v>
          </cell>
        </row>
        <row r="1133">
          <cell r="A1133" t="str">
            <v>11/G0045</v>
          </cell>
          <cell r="B1133" t="str">
            <v>SIYABI BROTHERS</v>
          </cell>
        </row>
        <row r="1134">
          <cell r="A1134" t="str">
            <v>11/G0046</v>
          </cell>
          <cell r="B1134" t="str">
            <v>SIYABI BROTHERS</v>
          </cell>
        </row>
        <row r="1135">
          <cell r="A1135" t="str">
            <v>11/G0047</v>
          </cell>
          <cell r="B1135" t="str">
            <v>SIYABI BROTHERS</v>
          </cell>
        </row>
        <row r="1136">
          <cell r="A1136" t="str">
            <v>11/G0048</v>
          </cell>
          <cell r="B1136" t="str">
            <v>Nakhal Ahlia Investment Company SOAC</v>
          </cell>
        </row>
        <row r="1137">
          <cell r="A1137" t="str">
            <v>11/G0049</v>
          </cell>
          <cell r="B1137" t="str">
            <v>SALIM KHALFAN SALIM AL HABSI</v>
          </cell>
        </row>
        <row r="1138">
          <cell r="A1138" t="str">
            <v>11/G0050</v>
          </cell>
          <cell r="B1138" t="str">
            <v>LUBAN DEVELOPMENT &amp; INVESTMENT LLC</v>
          </cell>
        </row>
        <row r="1139">
          <cell r="A1139" t="str">
            <v>11/G0051</v>
          </cell>
          <cell r="B1139" t="str">
            <v>AMAN REIT</v>
          </cell>
        </row>
        <row r="1140">
          <cell r="A1140" t="str">
            <v>11/G0052</v>
          </cell>
          <cell r="B1140" t="str">
            <v>AMAN REIT</v>
          </cell>
        </row>
        <row r="1141">
          <cell r="A1141" t="str">
            <v>12/F0101</v>
          </cell>
          <cell r="B1141" t="str">
            <v>IBRAHIM AZAN ALI AL SIYABI</v>
          </cell>
        </row>
        <row r="1142">
          <cell r="A1142" t="str">
            <v>12/F0102</v>
          </cell>
          <cell r="B1142" t="str">
            <v>Ahmed Mohammed Abdullah Al Battashi</v>
          </cell>
        </row>
        <row r="1143">
          <cell r="A1143" t="str">
            <v>12/F0103</v>
          </cell>
          <cell r="B1143" t="str">
            <v>Nasser Mohamed Salim Al Khanbashi</v>
          </cell>
        </row>
        <row r="1144">
          <cell r="A1144" t="str">
            <v>12/F0104</v>
          </cell>
          <cell r="B1144" t="str">
            <v>HUSSAIN ALI MOHAMED AL LAWATI</v>
          </cell>
        </row>
        <row r="1145">
          <cell r="A1145" t="str">
            <v>12/F0105</v>
          </cell>
          <cell r="B1145" t="str">
            <v>ALI MOHD JAWAD AL HAJ HASSAN FADHIL</v>
          </cell>
        </row>
        <row r="1146">
          <cell r="A1146" t="str">
            <v>12/F0106</v>
          </cell>
          <cell r="B1146" t="str">
            <v>FATMA ABDULLAH MOHAMMED AL LAWATI</v>
          </cell>
        </row>
        <row r="1147">
          <cell r="A1147" t="str">
            <v>12/F0107</v>
          </cell>
          <cell r="B1147" t="str">
            <v>MARYAM RASHID AHMED AL MASKARI</v>
          </cell>
        </row>
        <row r="1148">
          <cell r="A1148" t="str">
            <v>12/F0108</v>
          </cell>
          <cell r="B1148" t="str">
            <v>MAYA SALIM SURUR AL SALMI</v>
          </cell>
        </row>
        <row r="1149">
          <cell r="A1149" t="str">
            <v>12/F0109</v>
          </cell>
          <cell r="B1149" t="str">
            <v>IBRAHIM TALIB ISSA AL MASQARI</v>
          </cell>
        </row>
        <row r="1150">
          <cell r="A1150" t="str">
            <v>12/F0110</v>
          </cell>
          <cell r="B1150" t="str">
            <v>LUBAN DEVELOPMENT &amp; INVESTMENT LLC</v>
          </cell>
        </row>
        <row r="1151">
          <cell r="A1151" t="str">
            <v>12/F0111</v>
          </cell>
          <cell r="B1151" t="str">
            <v>LUBAN DEVELOPMENT &amp; INVESTMENT LLC</v>
          </cell>
        </row>
        <row r="1152">
          <cell r="A1152" t="str">
            <v>12/F0112</v>
          </cell>
          <cell r="B1152" t="str">
            <v>SULAIMAN MOHAMMED NASSER AL JABRI</v>
          </cell>
        </row>
        <row r="1153">
          <cell r="A1153" t="str">
            <v>12/F0113</v>
          </cell>
          <cell r="B1153" t="str">
            <v>AHMED ABDULLAH SULAIMAN AL KALBANI</v>
          </cell>
        </row>
        <row r="1154">
          <cell r="A1154" t="str">
            <v>12/F0114</v>
          </cell>
          <cell r="B1154" t="str">
            <v>SHAMSA SALIM SAIF AL AAMRI</v>
          </cell>
        </row>
        <row r="1155">
          <cell r="A1155" t="str">
            <v>12/F0115</v>
          </cell>
          <cell r="B1155" t="str">
            <v>MOHAMED ALI SAID AL WAHAIBI</v>
          </cell>
        </row>
        <row r="1156">
          <cell r="A1156" t="str">
            <v>12/F0116</v>
          </cell>
          <cell r="B1156" t="str">
            <v>BADRIYA MOHAMMED THINAI AL SIYABI</v>
          </cell>
        </row>
        <row r="1157">
          <cell r="A1157" t="str">
            <v>12/F0117</v>
          </cell>
          <cell r="B1157" t="str">
            <v>NASSER SULAIMAN ABDULLA AL QASSABI</v>
          </cell>
        </row>
        <row r="1158">
          <cell r="A1158" t="str">
            <v>12/F0118</v>
          </cell>
          <cell r="B1158" t="str">
            <v>Ali Murad Ghulam Al Raisi</v>
          </cell>
        </row>
        <row r="1159">
          <cell r="A1159" t="str">
            <v>12/F0119</v>
          </cell>
          <cell r="B1159" t="str">
            <v>LUBAN DEVELOPMENT &amp; INVESTMENT LLC</v>
          </cell>
        </row>
        <row r="1160">
          <cell r="A1160" t="str">
            <v>12/F0120</v>
          </cell>
          <cell r="B1160" t="str">
            <v>KHALID SALEH KHALID AL KHARUSI</v>
          </cell>
        </row>
        <row r="1161">
          <cell r="A1161" t="str">
            <v>12/F0121</v>
          </cell>
          <cell r="B1161" t="str">
            <v>HAMED IBRAHIM HAMED AL QARWASHI</v>
          </cell>
        </row>
        <row r="1162">
          <cell r="A1162" t="str">
            <v>12/F0122</v>
          </cell>
          <cell r="B1162" t="str">
            <v>KHALID NASSER AL HADHRAMI</v>
          </cell>
        </row>
        <row r="1163">
          <cell r="A1163" t="str">
            <v>12/F0123</v>
          </cell>
          <cell r="B1163" t="str">
            <v>WIDAD YOUSUF AL AAMRI</v>
          </cell>
        </row>
        <row r="1164">
          <cell r="A1164" t="str">
            <v>12/F0124</v>
          </cell>
          <cell r="B1164" t="str">
            <v>SALEH JUMA SALEEM AL BULUSHI</v>
          </cell>
        </row>
        <row r="1165">
          <cell r="A1165" t="str">
            <v>12/F0125</v>
          </cell>
          <cell r="B1165" t="str">
            <v>ANAS MALIK IBRAHIM AL KINDI</v>
          </cell>
        </row>
        <row r="1166">
          <cell r="A1166" t="str">
            <v>12/F0126</v>
          </cell>
          <cell r="B1166" t="str">
            <v>TALAL MARHOUN KHALFAN AL MAAMARI</v>
          </cell>
        </row>
        <row r="1167">
          <cell r="A1167" t="str">
            <v>12/F0127</v>
          </cell>
          <cell r="B1167" t="str">
            <v>SULAIMAN ABDALLAH MOHAMMED AL RIYAMI</v>
          </cell>
        </row>
        <row r="1168">
          <cell r="A1168" t="str">
            <v>12/F0128</v>
          </cell>
          <cell r="B1168" t="str">
            <v>JAMALAT ABDUL MOHSIN MOHAMED ZAYID</v>
          </cell>
        </row>
        <row r="1169">
          <cell r="A1169" t="str">
            <v>12/F0129</v>
          </cell>
          <cell r="B1169" t="str">
            <v>LUBAN DEVELOPMENT &amp; INVESTMENT LLC</v>
          </cell>
        </row>
        <row r="1170">
          <cell r="A1170" t="str">
            <v>12/F0130</v>
          </cell>
          <cell r="B1170" t="str">
            <v>LUBAN DEVELOPMENT &amp; INVESTMENT LLC</v>
          </cell>
        </row>
        <row r="1171">
          <cell r="A1171" t="str">
            <v>12/F0131</v>
          </cell>
          <cell r="B1171" t="str">
            <v>AHMED ABDULLAH NABHAN AL AMRI</v>
          </cell>
        </row>
        <row r="1172">
          <cell r="A1172" t="str">
            <v>12/F0132</v>
          </cell>
          <cell r="B1172" t="str">
            <v>LUBAN DEVELOPMENT &amp; INVESTMENT LLC</v>
          </cell>
        </row>
        <row r="1173">
          <cell r="A1173" t="str">
            <v>12/F0133</v>
          </cell>
          <cell r="B1173" t="str">
            <v>YAQOOB SAID AL AMRI</v>
          </cell>
        </row>
        <row r="1174">
          <cell r="A1174" t="str">
            <v>12/F0134</v>
          </cell>
          <cell r="B1174" t="str">
            <v>HUMOUD SLOUM SLELIM AL SHUKEIRY</v>
          </cell>
        </row>
        <row r="1175">
          <cell r="A1175" t="str">
            <v>12/F0135</v>
          </cell>
          <cell r="B1175" t="str">
            <v>BAKHIT ALI SAID AL BADI</v>
          </cell>
        </row>
        <row r="1176">
          <cell r="A1176" t="str">
            <v>12/F0136</v>
          </cell>
          <cell r="B1176" t="str">
            <v>MAHMOOD ABDULLAH SAIF AL KINDI</v>
          </cell>
        </row>
        <row r="1177">
          <cell r="A1177" t="str">
            <v>12/F0137</v>
          </cell>
          <cell r="B1177" t="str">
            <v>HAJID AL KHANJARI+ZAYANA AL HARTHI</v>
          </cell>
        </row>
        <row r="1178">
          <cell r="A1178" t="str">
            <v>12/F0138</v>
          </cell>
          <cell r="B1178" t="str">
            <v>FARIS MUBARAK OMAR AL BALUSHI</v>
          </cell>
        </row>
        <row r="1179">
          <cell r="A1179" t="str">
            <v>12/F0139</v>
          </cell>
          <cell r="B1179" t="str">
            <v>SULAIMAN ABDALLAH MOHAMMED AL RIYAMI</v>
          </cell>
        </row>
        <row r="1180">
          <cell r="A1180" t="str">
            <v>12/F0140</v>
          </cell>
          <cell r="B1180" t="str">
            <v>Abdulaziz Saud Salim Al Rashdi</v>
          </cell>
        </row>
        <row r="1181">
          <cell r="A1181" t="str">
            <v>12/F0141</v>
          </cell>
          <cell r="B1181" t="str">
            <v>MUNA ALI ABDULLAH AL SUBHI</v>
          </cell>
        </row>
        <row r="1182">
          <cell r="A1182" t="str">
            <v>12/F0142</v>
          </cell>
          <cell r="B1182" t="str">
            <v>AHMED SALIM SAID AL SAIFI</v>
          </cell>
        </row>
        <row r="1183">
          <cell r="A1183" t="str">
            <v>12/F0143</v>
          </cell>
          <cell r="B1183" t="str">
            <v>FATMAH A A ALDUWAISAN</v>
          </cell>
        </row>
        <row r="1184">
          <cell r="A1184" t="str">
            <v>12/F0144</v>
          </cell>
          <cell r="B1184" t="str">
            <v>HILAL SAIF HAMED AL ARAFATI</v>
          </cell>
        </row>
        <row r="1185">
          <cell r="A1185" t="str">
            <v>12/F0145</v>
          </cell>
          <cell r="B1185" t="str">
            <v>LUBAN DEVELOPMENT &amp; INVESTMENT LLC</v>
          </cell>
        </row>
        <row r="1186">
          <cell r="A1186" t="str">
            <v>12/F0146</v>
          </cell>
          <cell r="B1186" t="str">
            <v>KHALID NASSER KHAMIS AL SUDAIRI</v>
          </cell>
        </row>
        <row r="1187">
          <cell r="A1187" t="str">
            <v>12/F0147</v>
          </cell>
          <cell r="B1187" t="str">
            <v>LUBAN DEVELOPMENT &amp; INVESTMENT LLC</v>
          </cell>
        </row>
        <row r="1188">
          <cell r="A1188" t="str">
            <v>12/F0148</v>
          </cell>
          <cell r="B1188" t="str">
            <v>LUBAN DEVELOPMENT &amp; INVESTMENT LLC</v>
          </cell>
        </row>
        <row r="1189">
          <cell r="A1189" t="str">
            <v>12/F0149</v>
          </cell>
          <cell r="B1189" t="str">
            <v>MAKASIB REAL ESTATE LLC</v>
          </cell>
        </row>
        <row r="1190">
          <cell r="A1190" t="str">
            <v>12/F0150</v>
          </cell>
          <cell r="B1190" t="str">
            <v>LUBAN DEVELOPMENT &amp; INVESTMENT LLC</v>
          </cell>
        </row>
        <row r="1191">
          <cell r="A1191" t="str">
            <v>12/F0151</v>
          </cell>
          <cell r="B1191" t="str">
            <v>ABDULLAH HUMAID ALI AL RUQAISHI</v>
          </cell>
        </row>
        <row r="1192">
          <cell r="A1192" t="str">
            <v>12/F0152</v>
          </cell>
          <cell r="B1192" t="str">
            <v>MAKASIB REAL ESTATE LLC</v>
          </cell>
        </row>
        <row r="1193">
          <cell r="A1193" t="str">
            <v>12/F0153</v>
          </cell>
          <cell r="B1193" t="str">
            <v>MUHAMMED SULAIMAN AL KINDI</v>
          </cell>
        </row>
        <row r="1194">
          <cell r="A1194" t="str">
            <v>12/F0154</v>
          </cell>
          <cell r="B1194" t="str">
            <v>MAKASIB REAL ESTATE LLC</v>
          </cell>
        </row>
        <row r="1195">
          <cell r="A1195" t="str">
            <v>12/F0155</v>
          </cell>
          <cell r="B1195" t="str">
            <v>ZULKHA SAID HAMOOD SAID AL HAJIRI</v>
          </cell>
        </row>
        <row r="1196">
          <cell r="A1196" t="str">
            <v>12/F0156</v>
          </cell>
          <cell r="B1196" t="str">
            <v>LUBAN DEVELOPMENT &amp; INVESTMENT LLC</v>
          </cell>
        </row>
        <row r="1197">
          <cell r="A1197" t="str">
            <v>12/F0157</v>
          </cell>
          <cell r="B1197" t="str">
            <v>MAKASIB REAL ESTATE LLC</v>
          </cell>
        </row>
        <row r="1198">
          <cell r="A1198" t="str">
            <v>12/F0158</v>
          </cell>
          <cell r="B1198" t="str">
            <v>MAKASIB REAL ESTATE LLC</v>
          </cell>
        </row>
        <row r="1199">
          <cell r="A1199" t="str">
            <v>12/F0159</v>
          </cell>
          <cell r="B1199" t="str">
            <v>MAKASIB REAL ESTATE LLC</v>
          </cell>
        </row>
        <row r="1200">
          <cell r="A1200" t="str">
            <v>12/F0160</v>
          </cell>
          <cell r="B1200" t="str">
            <v>Aisha Said Nasir Al Mahrouqi</v>
          </cell>
        </row>
        <row r="1201">
          <cell r="A1201" t="str">
            <v>12/F0161</v>
          </cell>
          <cell r="B1201" t="str">
            <v>ISSA MOHAMED BATI AL QASMI</v>
          </cell>
        </row>
        <row r="1202">
          <cell r="A1202" t="str">
            <v>12/F0162</v>
          </cell>
          <cell r="B1202" t="str">
            <v>AMER SAID MUSALLAM QAHUR AL MAHRI</v>
          </cell>
        </row>
        <row r="1203">
          <cell r="A1203" t="str">
            <v>12/F0163</v>
          </cell>
          <cell r="B1203" t="str">
            <v>AMER SAID MUSALLAM QAHUR AL MAHRI</v>
          </cell>
        </row>
        <row r="1204">
          <cell r="A1204" t="str">
            <v>12/F0164</v>
          </cell>
          <cell r="B1204" t="str">
            <v>LUBAN DEVELOPMENT &amp; INVESTMENT LLC</v>
          </cell>
        </row>
        <row r="1205">
          <cell r="A1205" t="str">
            <v>12/F0165</v>
          </cell>
          <cell r="B1205" t="str">
            <v>LUBAN DEVELOPMENT &amp; INVESTMENT LLC</v>
          </cell>
        </row>
        <row r="1206">
          <cell r="A1206" t="str">
            <v>12/F0166</v>
          </cell>
          <cell r="B1206" t="str">
            <v>AMER SAID MUSALLAM QAHUR AL MAHRI</v>
          </cell>
        </row>
        <row r="1207">
          <cell r="A1207" t="str">
            <v>12/F0167</v>
          </cell>
          <cell r="B1207" t="str">
            <v>AMER SAID MUSALLAM QAHUR AL MAHRI</v>
          </cell>
        </row>
        <row r="1208">
          <cell r="A1208" t="str">
            <v>12/F0168</v>
          </cell>
          <cell r="B1208" t="str">
            <v>MAKASIB REAL ESTATE LLC</v>
          </cell>
        </row>
        <row r="1209">
          <cell r="A1209" t="str">
            <v>12/F0169</v>
          </cell>
          <cell r="B1209" t="str">
            <v>Dhikra Abdullah Humaid Al Hadi</v>
          </cell>
        </row>
        <row r="1210">
          <cell r="A1210" t="str">
            <v>12/F0170</v>
          </cell>
          <cell r="B1210" t="str">
            <v>Rahma Khalid Hilal Al Rawahi</v>
          </cell>
        </row>
        <row r="1211">
          <cell r="A1211" t="str">
            <v>12/F0171</v>
          </cell>
          <cell r="B1211" t="str">
            <v>MAKASIB REAL ESTATE LLC</v>
          </cell>
        </row>
        <row r="1212">
          <cell r="A1212" t="str">
            <v>12/F0172</v>
          </cell>
          <cell r="B1212" t="str">
            <v>MAKASIB REAL ESTATE LLC</v>
          </cell>
        </row>
        <row r="1213">
          <cell r="A1213" t="str">
            <v>12/F0173</v>
          </cell>
          <cell r="B1213" t="str">
            <v>MAKASIB REAL ESTATE LLC</v>
          </cell>
        </row>
        <row r="1214">
          <cell r="A1214" t="str">
            <v>12/F0174</v>
          </cell>
          <cell r="B1214" t="str">
            <v>IBRAHIM AZAN ALI AL SIYABI</v>
          </cell>
        </row>
        <row r="1215">
          <cell r="A1215" t="str">
            <v>12/G0001</v>
          </cell>
          <cell r="B1215" t="str">
            <v>IBRAHIM AZAN ALI AL SIYABI</v>
          </cell>
        </row>
        <row r="1216">
          <cell r="A1216" t="str">
            <v>12/G0002</v>
          </cell>
          <cell r="B1216" t="str">
            <v>IBRAHIM AZAN ALI AL SIYABI</v>
          </cell>
        </row>
        <row r="1217">
          <cell r="A1217" t="str">
            <v>12/G0003</v>
          </cell>
          <cell r="B1217" t="str">
            <v>AMAN REIT</v>
          </cell>
        </row>
        <row r="1218">
          <cell r="A1218" t="str">
            <v>12/G0004</v>
          </cell>
          <cell r="B1218" t="str">
            <v>AMAN REIT</v>
          </cell>
        </row>
        <row r="1219">
          <cell r="A1219" t="str">
            <v>12/G0005</v>
          </cell>
          <cell r="B1219" t="str">
            <v>AMAN REIT</v>
          </cell>
        </row>
        <row r="1220">
          <cell r="A1220" t="str">
            <v>12/G0006</v>
          </cell>
          <cell r="B1220" t="str">
            <v>AMAN REIT</v>
          </cell>
        </row>
        <row r="1221">
          <cell r="A1221" t="str">
            <v>12/G0007</v>
          </cell>
          <cell r="B1221" t="str">
            <v>ALI HASSAN MOHAMMED AL AJMI</v>
          </cell>
        </row>
        <row r="1222">
          <cell r="A1222" t="str">
            <v>12/G0008</v>
          </cell>
          <cell r="B1222" t="str">
            <v>ISSA MOHAMED BATI AL QASMI</v>
          </cell>
        </row>
        <row r="1223">
          <cell r="A1223" t="str">
            <v>12/G0009</v>
          </cell>
          <cell r="B1223" t="str">
            <v>Nakhal Ahlia Investment Company SOAC</v>
          </cell>
        </row>
        <row r="1224">
          <cell r="A1224" t="str">
            <v>12/G0010</v>
          </cell>
          <cell r="B1224" t="str">
            <v>HAMED ALI SAIF AL RASHDI</v>
          </cell>
        </row>
        <row r="1225">
          <cell r="A1225" t="str">
            <v>12/G0011</v>
          </cell>
          <cell r="B1225" t="str">
            <v>SALIM HAMOOD MOHAMED AL HARASI</v>
          </cell>
        </row>
        <row r="1226">
          <cell r="A1226" t="str">
            <v>12/G0012</v>
          </cell>
          <cell r="B1226" t="str">
            <v>HARITH MOHAMMAD RASHID AL WARDI</v>
          </cell>
        </row>
        <row r="1227">
          <cell r="A1227" t="str">
            <v>12/G0013</v>
          </cell>
          <cell r="B1227" t="str">
            <v>Hilal Abdullah Sulaiman Al Nadabi</v>
          </cell>
        </row>
        <row r="1228">
          <cell r="A1228" t="str">
            <v>12/G0014</v>
          </cell>
          <cell r="B1228" t="str">
            <v>SULAIMAN MOHAMMED NASSER AL JABRI</v>
          </cell>
        </row>
        <row r="1229">
          <cell r="A1229" t="str">
            <v>12/G0015</v>
          </cell>
          <cell r="B1229" t="str">
            <v>Nakhal Ahlia Investment Company SOAC</v>
          </cell>
        </row>
        <row r="1230">
          <cell r="A1230" t="str">
            <v>12/G0016</v>
          </cell>
          <cell r="B1230" t="str">
            <v>ALI SALIM ABDULLAH AL RASHDI</v>
          </cell>
        </row>
        <row r="1231">
          <cell r="A1231" t="str">
            <v>12/G0017</v>
          </cell>
          <cell r="B1231" t="str">
            <v>MOHAMMED ABDULLAH ISSA AL ABRI</v>
          </cell>
        </row>
        <row r="1232">
          <cell r="A1232" t="str">
            <v>12/G0018</v>
          </cell>
          <cell r="B1232" t="str">
            <v>MUHAMMED SULAIMAN AL KINDI</v>
          </cell>
        </row>
        <row r="1233">
          <cell r="A1233" t="str">
            <v>12/G0019</v>
          </cell>
          <cell r="B1233" t="str">
            <v>MUHAMMED SULAIMAN AL KINDI</v>
          </cell>
        </row>
        <row r="1234">
          <cell r="A1234" t="str">
            <v>12/G0020</v>
          </cell>
          <cell r="B1234" t="str">
            <v>MUHAMMED SULAIMAN AL KINDI</v>
          </cell>
        </row>
        <row r="1235">
          <cell r="A1235" t="str">
            <v>12/G0021</v>
          </cell>
          <cell r="B1235" t="str">
            <v>HUMAID HAMOOD HUMAID AL TOQI</v>
          </cell>
        </row>
        <row r="1236">
          <cell r="A1236" t="str">
            <v>12/G0022</v>
          </cell>
          <cell r="B1236" t="str">
            <v>AMAN REIT</v>
          </cell>
        </row>
        <row r="1237">
          <cell r="A1237" t="str">
            <v>12/G0023</v>
          </cell>
          <cell r="B1237" t="str">
            <v>AMER SALIM AYEL AL JABRI</v>
          </cell>
        </row>
        <row r="1238">
          <cell r="A1238" t="str">
            <v>12/G0024</v>
          </cell>
          <cell r="B1238" t="str">
            <v>SUHAIL IBRAHIM MOHAMED AL BALUSHI</v>
          </cell>
        </row>
        <row r="1239">
          <cell r="A1239" t="str">
            <v>12/G0025</v>
          </cell>
          <cell r="B1239" t="str">
            <v>AMAN REIT</v>
          </cell>
        </row>
        <row r="1240">
          <cell r="A1240" t="str">
            <v>12/G0026</v>
          </cell>
          <cell r="B1240" t="str">
            <v>AMAN REIT</v>
          </cell>
        </row>
        <row r="1241">
          <cell r="A1241" t="str">
            <v>12/G0027</v>
          </cell>
          <cell r="B1241" t="str">
            <v>AMAN REIT</v>
          </cell>
        </row>
        <row r="1242">
          <cell r="A1242" t="str">
            <v>12/G0028</v>
          </cell>
          <cell r="B1242" t="str">
            <v>ABDULLAH MOHAMED AMUR AL SARMI</v>
          </cell>
        </row>
        <row r="1243">
          <cell r="A1243" t="str">
            <v>12/G0029</v>
          </cell>
          <cell r="B1243" t="str">
            <v>ABDULLAH MOHAMED AMUR AL SARMI</v>
          </cell>
        </row>
        <row r="1244">
          <cell r="A1244" t="str">
            <v>12/G0030</v>
          </cell>
          <cell r="B1244" t="str">
            <v>THURYAH HILAL AL YARABI</v>
          </cell>
        </row>
        <row r="1245">
          <cell r="A1245" t="str">
            <v>12/G0031</v>
          </cell>
          <cell r="B1245" t="str">
            <v>HAMOOD ALI SAIF AL AISRI</v>
          </cell>
        </row>
        <row r="1246">
          <cell r="A1246" t="str">
            <v>12/G0032</v>
          </cell>
          <cell r="B1246" t="str">
            <v>AMAN REIT</v>
          </cell>
        </row>
        <row r="1247">
          <cell r="A1247" t="str">
            <v>12/G0033</v>
          </cell>
          <cell r="B1247" t="str">
            <v>Nakhal Ahlia Investment Company SOAC</v>
          </cell>
        </row>
        <row r="1248">
          <cell r="A1248" t="str">
            <v>12/G0034</v>
          </cell>
          <cell r="B1248" t="str">
            <v>AMAN REIT</v>
          </cell>
        </row>
        <row r="1249">
          <cell r="A1249" t="str">
            <v>12/G0035</v>
          </cell>
          <cell r="B1249" t="str">
            <v>HILAL SAIF HAMED AL ARAFATI</v>
          </cell>
        </row>
        <row r="1250">
          <cell r="A1250" t="str">
            <v>12/G0036</v>
          </cell>
          <cell r="B1250" t="str">
            <v>YAQOOB YAHYA SULAIMAN AL KINDI</v>
          </cell>
        </row>
        <row r="1251">
          <cell r="A1251" t="str">
            <v>12/G0037</v>
          </cell>
          <cell r="B1251" t="str">
            <v>YAQOOB YAHYA SULAIMAN AL KINDI</v>
          </cell>
        </row>
        <row r="1252">
          <cell r="A1252" t="str">
            <v>12/G0038</v>
          </cell>
          <cell r="B1252" t="str">
            <v>YAQOOB YAHYA SULAIMAN AL KINDI</v>
          </cell>
        </row>
        <row r="1253">
          <cell r="A1253" t="str">
            <v>12/G0039</v>
          </cell>
          <cell r="B1253" t="str">
            <v>YAQOOB YAHYA SULAIMAN AL KINDI</v>
          </cell>
        </row>
        <row r="1254">
          <cell r="A1254" t="str">
            <v>12/G0040</v>
          </cell>
          <cell r="B1254" t="str">
            <v>YAQOOB YAHYA SULAIMAN AL KINDI</v>
          </cell>
        </row>
        <row r="1255">
          <cell r="A1255" t="str">
            <v>12/G0041</v>
          </cell>
          <cell r="B1255" t="str">
            <v>YAQOOB YAHYA SULAIMAN AL KINDI</v>
          </cell>
        </row>
        <row r="1256">
          <cell r="A1256" t="str">
            <v>12/G0042</v>
          </cell>
          <cell r="B1256" t="str">
            <v>AMAN REIT</v>
          </cell>
        </row>
        <row r="1257">
          <cell r="A1257" t="str">
            <v>12/G0043</v>
          </cell>
          <cell r="B1257" t="str">
            <v>AMAN REIT</v>
          </cell>
        </row>
        <row r="1258">
          <cell r="A1258" t="str">
            <v>12/G0044</v>
          </cell>
          <cell r="B1258" t="str">
            <v>AMAN REIT</v>
          </cell>
        </row>
        <row r="1259">
          <cell r="A1259" t="str">
            <v>12/G0045</v>
          </cell>
          <cell r="B1259" t="str">
            <v>SAADA BAKHIT MOHAMMED AL HAJRI</v>
          </cell>
        </row>
        <row r="1260">
          <cell r="A1260" t="str">
            <v>12/G0046</v>
          </cell>
          <cell r="B1260" t="str">
            <v>FAHAD HAMED MOHAMMED AL MAMARI</v>
          </cell>
        </row>
        <row r="1261">
          <cell r="A1261" t="str">
            <v>12/G0047</v>
          </cell>
          <cell r="B1261" t="str">
            <v>KHALID NASSER KHAMIS AL SUDAIRI</v>
          </cell>
        </row>
        <row r="1262">
          <cell r="A1262" t="str">
            <v>12/G0048</v>
          </cell>
          <cell r="B1262" t="str">
            <v>AMAN REIT</v>
          </cell>
        </row>
        <row r="1263">
          <cell r="A1263" t="str">
            <v>12/G0049</v>
          </cell>
          <cell r="B1263" t="str">
            <v>AMAN REIT</v>
          </cell>
        </row>
        <row r="1264">
          <cell r="A1264" t="str">
            <v>12/G0050</v>
          </cell>
          <cell r="B1264" t="str">
            <v>AMAN REIT</v>
          </cell>
        </row>
        <row r="1265">
          <cell r="A1265" t="str">
            <v>12/G0051</v>
          </cell>
          <cell r="B1265" t="str">
            <v>SUHAIL IBRAHIM MOHAMED AL BALUSHI</v>
          </cell>
        </row>
        <row r="1266">
          <cell r="A1266" t="str">
            <v>12/G0052</v>
          </cell>
          <cell r="B1266" t="str">
            <v>EMAD ABDULGHAFOOR SAIF AL DEEN AL BULUSHI</v>
          </cell>
        </row>
        <row r="1267">
          <cell r="A1267" t="str">
            <v>12/G0053</v>
          </cell>
          <cell r="B1267" t="str">
            <v>ABDULLAH HUMAID ALI AL RUQAISHI</v>
          </cell>
        </row>
        <row r="1268">
          <cell r="A1268" t="str">
            <v>12/G0054</v>
          </cell>
          <cell r="B1268" t="str">
            <v>SHAMS SAID HAMOOD AL HAJRI</v>
          </cell>
        </row>
        <row r="1269">
          <cell r="A1269" t="str">
            <v>12/G0055</v>
          </cell>
          <cell r="B1269" t="str">
            <v>AMAN REIT</v>
          </cell>
        </row>
        <row r="1270">
          <cell r="A1270" t="str">
            <v>12/G0056</v>
          </cell>
          <cell r="B1270" t="str">
            <v>AMAN REIT</v>
          </cell>
        </row>
        <row r="1271">
          <cell r="A1271" t="str">
            <v>12/G0057</v>
          </cell>
          <cell r="B1271" t="str">
            <v>AMAN REIT</v>
          </cell>
        </row>
        <row r="1272">
          <cell r="A1272" t="str">
            <v>12/G0058</v>
          </cell>
          <cell r="B1272" t="str">
            <v>AMAN REIT</v>
          </cell>
        </row>
        <row r="1273">
          <cell r="A1273" t="str">
            <v>12/G0059</v>
          </cell>
          <cell r="B1273" t="str">
            <v>JUMA SAID HASSAN AL BULUSHI</v>
          </cell>
        </row>
        <row r="1274">
          <cell r="A1274" t="str">
            <v>12/G0060</v>
          </cell>
          <cell r="B1274" t="str">
            <v>ZAEEMA MOHAMMED ABDULLAH AL SAOUDI</v>
          </cell>
        </row>
        <row r="1275">
          <cell r="A1275" t="str">
            <v>12/G0061</v>
          </cell>
          <cell r="B1275" t="str">
            <v>ISSA ALI ABDULKARIM AL GHASSANI</v>
          </cell>
        </row>
        <row r="1276">
          <cell r="A1276" t="str">
            <v>12/G0062</v>
          </cell>
          <cell r="B1276" t="str">
            <v>AMAN REIT</v>
          </cell>
        </row>
        <row r="1277">
          <cell r="A1277" t="str">
            <v>12/G0063</v>
          </cell>
          <cell r="B1277" t="str">
            <v>AMAN REIT</v>
          </cell>
        </row>
        <row r="1278">
          <cell r="A1278" t="str">
            <v>12/G0064</v>
          </cell>
          <cell r="B1278" t="str">
            <v>AMAN REIT</v>
          </cell>
        </row>
        <row r="1279">
          <cell r="A1279" t="str">
            <v>12/G0065</v>
          </cell>
          <cell r="B1279" t="str">
            <v>AMAN REIT</v>
          </cell>
        </row>
        <row r="1280">
          <cell r="A1280" t="str">
            <v>12/G0066</v>
          </cell>
          <cell r="B1280" t="str">
            <v>AMAN REIT</v>
          </cell>
        </row>
        <row r="1281">
          <cell r="A1281" t="str">
            <v>12/G0067</v>
          </cell>
          <cell r="B1281" t="str">
            <v>FATIMA AHMED ALI AL AJMI</v>
          </cell>
        </row>
        <row r="1282">
          <cell r="A1282" t="str">
            <v>12/G0068</v>
          </cell>
          <cell r="B1282" t="str">
            <v>AHMED HAMID HARITH AL FARII</v>
          </cell>
        </row>
        <row r="1283">
          <cell r="A1283" t="str">
            <v>12/G0069</v>
          </cell>
          <cell r="B1283" t="str">
            <v>AHMED MARHOON AL NAABI</v>
          </cell>
        </row>
        <row r="1284">
          <cell r="A1284" t="str">
            <v>12/G0070</v>
          </cell>
          <cell r="B1284" t="str">
            <v>MOHAMED AHMED ALANSARI</v>
          </cell>
        </row>
        <row r="1285">
          <cell r="A1285" t="str">
            <v>12/G0071</v>
          </cell>
          <cell r="B1285" t="str">
            <v>AMAN REIT</v>
          </cell>
        </row>
        <row r="1286">
          <cell r="A1286" t="str">
            <v>12/G0072</v>
          </cell>
          <cell r="B1286" t="str">
            <v>AMAN REIT</v>
          </cell>
        </row>
        <row r="1287">
          <cell r="A1287" t="str">
            <v>12/G0073</v>
          </cell>
          <cell r="B1287" t="str">
            <v>IBRAHIM AZAN ALI AL SIYABI</v>
          </cell>
        </row>
        <row r="1288">
          <cell r="A1288" t="str">
            <v>12/G0074</v>
          </cell>
          <cell r="B1288" t="str">
            <v>IBRAHIM AZAN ALI AL SIYABI</v>
          </cell>
        </row>
        <row r="1289">
          <cell r="A1289" t="str">
            <v>12/G0075</v>
          </cell>
          <cell r="B1289" t="str">
            <v>AMAN REIT</v>
          </cell>
        </row>
        <row r="1290">
          <cell r="A1290" t="str">
            <v>12/G0076</v>
          </cell>
          <cell r="B1290" t="str">
            <v>AMAN REIT</v>
          </cell>
        </row>
        <row r="1291">
          <cell r="A1291" t="str">
            <v>12/G0077</v>
          </cell>
          <cell r="B1291" t="str">
            <v>AMAN REIT</v>
          </cell>
        </row>
        <row r="1292">
          <cell r="A1292" t="str">
            <v>12/G0078</v>
          </cell>
          <cell r="B1292" t="str">
            <v>AMAN REIT</v>
          </cell>
        </row>
        <row r="1293">
          <cell r="A1293" t="str">
            <v>15/F0101</v>
          </cell>
          <cell r="B1293" t="str">
            <v>AZZA SAID SULAIMAN  AL HARRASI</v>
          </cell>
        </row>
        <row r="1294">
          <cell r="A1294" t="str">
            <v>15/F0102</v>
          </cell>
          <cell r="B1294" t="str">
            <v>ADNAN GHULAM KHAMIS AL BULUSHI</v>
          </cell>
        </row>
        <row r="1295">
          <cell r="A1295" t="str">
            <v>15/F0103</v>
          </cell>
          <cell r="B1295" t="str">
            <v>AHMED SHAMIS NASSER AL AMRI</v>
          </cell>
        </row>
        <row r="1296">
          <cell r="A1296" t="str">
            <v>15/F0104</v>
          </cell>
          <cell r="B1296" t="str">
            <v>BASHEER SALIM ABDULLAH ALRIYAMI</v>
          </cell>
        </row>
        <row r="1297">
          <cell r="A1297" t="str">
            <v>15/F0105</v>
          </cell>
          <cell r="B1297" t="str">
            <v>SALIM BASHEER SALIM AL RIYAMI</v>
          </cell>
        </row>
        <row r="1298">
          <cell r="A1298" t="str">
            <v>15/F0106</v>
          </cell>
          <cell r="B1298" t="str">
            <v>GHALIYA ALI SAIF AL AMRI</v>
          </cell>
        </row>
        <row r="1299">
          <cell r="A1299" t="str">
            <v>15/F0107</v>
          </cell>
          <cell r="B1299" t="str">
            <v>MARWAH ALI SAIF AL AMRI</v>
          </cell>
        </row>
        <row r="1300">
          <cell r="A1300" t="str">
            <v>15/F0108</v>
          </cell>
          <cell r="B1300" t="str">
            <v>KHALID ABDULLAH KHALFAN AL JABRI</v>
          </cell>
        </row>
        <row r="1301">
          <cell r="A1301" t="str">
            <v>15/F0109</v>
          </cell>
          <cell r="B1301" t="str">
            <v>Hamed Rashid Salim Al Farsi</v>
          </cell>
        </row>
        <row r="1302">
          <cell r="A1302" t="str">
            <v>15/F0110</v>
          </cell>
          <cell r="B1302" t="str">
            <v>LUBAN DEVELOPMENT &amp; INVESTMENT LLC</v>
          </cell>
        </row>
        <row r="1303">
          <cell r="A1303" t="str">
            <v>15/F0111</v>
          </cell>
          <cell r="B1303" t="str">
            <v>LUBAN DEVELOPMENT &amp; INVESTMENT LLC</v>
          </cell>
        </row>
        <row r="1304">
          <cell r="A1304" t="str">
            <v>15/F0112</v>
          </cell>
          <cell r="B1304" t="str">
            <v>KHALIFA SAID HASSAN AULAD THANI</v>
          </cell>
        </row>
        <row r="1305">
          <cell r="A1305" t="str">
            <v>15/F0113</v>
          </cell>
          <cell r="B1305" t="str">
            <v>MOHSIN ZAHRAN MOHAMMED AL KINDI</v>
          </cell>
        </row>
        <row r="1306">
          <cell r="A1306" t="str">
            <v>15/F0114</v>
          </cell>
          <cell r="B1306" t="str">
            <v>ABDULLAH SALIM SAIF AL AMRI</v>
          </cell>
        </row>
        <row r="1307">
          <cell r="A1307" t="str">
            <v>15/F0115</v>
          </cell>
          <cell r="B1307" t="str">
            <v>HAMOOD TAMIM SANAYDI AL TAMEIMI</v>
          </cell>
        </row>
        <row r="1308">
          <cell r="A1308" t="str">
            <v>15/F0116</v>
          </cell>
          <cell r="B1308" t="str">
            <v>HAMED SAID HAMED AL TAMIMI</v>
          </cell>
        </row>
        <row r="1309">
          <cell r="A1309" t="str">
            <v>15/F0117</v>
          </cell>
          <cell r="B1309" t="str">
            <v>SAID HAMED HEDEB AL TAMIMI</v>
          </cell>
        </row>
        <row r="1310">
          <cell r="A1310" t="str">
            <v>15/F0118</v>
          </cell>
          <cell r="B1310" t="str">
            <v>SAID HAMED HEDEB AL TAMIMI</v>
          </cell>
        </row>
        <row r="1311">
          <cell r="A1311" t="str">
            <v>15/F0119</v>
          </cell>
          <cell r="B1311" t="str">
            <v>SALEH AHMED SULTAN AL HABSI</v>
          </cell>
        </row>
        <row r="1312">
          <cell r="A1312" t="str">
            <v>15/F0120</v>
          </cell>
          <cell r="B1312" t="str">
            <v>HILAL MOHAMED HUMAID ALWAILI</v>
          </cell>
        </row>
        <row r="1313">
          <cell r="A1313" t="str">
            <v>15/F0121</v>
          </cell>
          <cell r="B1313" t="str">
            <v>AHMED NASSER KHADIM AL MUSALHI</v>
          </cell>
        </row>
        <row r="1314">
          <cell r="A1314" t="str">
            <v>15/F0122</v>
          </cell>
          <cell r="B1314" t="str">
            <v>SULTAN ALI SULAIMAN AL RUMHI</v>
          </cell>
        </row>
        <row r="1315">
          <cell r="A1315" t="str">
            <v>15/F0123</v>
          </cell>
          <cell r="B1315" t="str">
            <v>ZEYANA SAID MOHAMED AL BARWANI</v>
          </cell>
        </row>
        <row r="1316">
          <cell r="A1316" t="str">
            <v>15/F0124</v>
          </cell>
          <cell r="B1316" t="str">
            <v>AHMED MOHAMAD A A AL KOMAH</v>
          </cell>
        </row>
        <row r="1317">
          <cell r="A1317" t="str">
            <v>15/F0125</v>
          </cell>
          <cell r="B1317" t="str">
            <v>RAHMA MALIK IBRAHIM AL KINDI</v>
          </cell>
        </row>
        <row r="1318">
          <cell r="A1318" t="str">
            <v>15/F0126</v>
          </cell>
          <cell r="B1318" t="str">
            <v>LUBAN DEVELOPMENT &amp; INVESTMENT LLC</v>
          </cell>
        </row>
        <row r="1319">
          <cell r="A1319" t="str">
            <v>15/F0127</v>
          </cell>
          <cell r="B1319" t="str">
            <v>HATEM SALIM AL DUHANI</v>
          </cell>
        </row>
        <row r="1320">
          <cell r="A1320" t="str">
            <v>15/F0128</v>
          </cell>
          <cell r="B1320" t="str">
            <v>FAHAD MALIK IBRAHIM AL KINDI</v>
          </cell>
        </row>
        <row r="1321">
          <cell r="A1321" t="str">
            <v>15/F0129</v>
          </cell>
          <cell r="B1321" t="str">
            <v>AWADH ABDULLAH NABHAN ALAMRI</v>
          </cell>
        </row>
        <row r="1322">
          <cell r="A1322" t="str">
            <v>15/F0130</v>
          </cell>
          <cell r="B1322" t="str">
            <v>AWADH ABDULLAH NABHAN ALAMRI</v>
          </cell>
        </row>
        <row r="1323">
          <cell r="A1323" t="str">
            <v>15/F0131</v>
          </cell>
          <cell r="B1323" t="str">
            <v>AMIRA JUMA SALMEEN AL JABRI</v>
          </cell>
        </row>
        <row r="1324">
          <cell r="A1324" t="str">
            <v>15/F0132</v>
          </cell>
          <cell r="B1324" t="str">
            <v>KHALID KHALFAN SALIM AL HABSI</v>
          </cell>
        </row>
        <row r="1325">
          <cell r="A1325" t="str">
            <v>15/F0133</v>
          </cell>
          <cell r="B1325" t="str">
            <v>LUBAN DEVELOPMENT &amp; INVESTMENT LLC</v>
          </cell>
        </row>
        <row r="1326">
          <cell r="A1326" t="str">
            <v>15/F0134</v>
          </cell>
          <cell r="B1326" t="str">
            <v>RASHID KHALFAN SALIM KHALFAN AL ABRI</v>
          </cell>
        </row>
        <row r="1327">
          <cell r="A1327" t="str">
            <v>15/F0135</v>
          </cell>
          <cell r="B1327" t="str">
            <v>SAID HAMED MOHAMED AL KHARUSI</v>
          </cell>
        </row>
        <row r="1328">
          <cell r="A1328" t="str">
            <v>15/F0136</v>
          </cell>
          <cell r="B1328" t="str">
            <v>IMAN MOHSIN ABDULAZIZ AL BALUSHI</v>
          </cell>
        </row>
        <row r="1329">
          <cell r="A1329" t="str">
            <v>15/F0137</v>
          </cell>
          <cell r="B1329" t="str">
            <v>MANAL MOHSIN ABDULAZIZ AL BULUSHI</v>
          </cell>
        </row>
        <row r="1330">
          <cell r="A1330" t="str">
            <v>15/F0138</v>
          </cell>
          <cell r="B1330" t="str">
            <v>MAKASIB REAL ESTATE LLC</v>
          </cell>
        </row>
        <row r="1331">
          <cell r="A1331" t="str">
            <v>15/F0139</v>
          </cell>
          <cell r="B1331" t="str">
            <v>Mohammed Salim Nasser Al Mahrooqi</v>
          </cell>
        </row>
        <row r="1332">
          <cell r="A1332" t="str">
            <v>15/F0140</v>
          </cell>
          <cell r="B1332" t="str">
            <v>MAKASIB REAL ESTATE LLC</v>
          </cell>
        </row>
        <row r="1333">
          <cell r="A1333" t="str">
            <v>15/F0141</v>
          </cell>
          <cell r="B1333" t="str">
            <v>MAKASIB REAL ESTATE LLC</v>
          </cell>
        </row>
        <row r="1334">
          <cell r="A1334" t="str">
            <v>15/F0142</v>
          </cell>
          <cell r="B1334" t="str">
            <v>MAKASIB REAL ESTATE LLC</v>
          </cell>
        </row>
        <row r="1335">
          <cell r="A1335" t="str">
            <v>15/F0143</v>
          </cell>
          <cell r="B1335" t="str">
            <v>TAIBA MUBARAK SALIM AL TAWAJIR</v>
          </cell>
        </row>
        <row r="1336">
          <cell r="A1336" t="str">
            <v>15/F0144</v>
          </cell>
          <cell r="B1336" t="str">
            <v>NASSER SlOUM SALEEM Al SHIKEERI</v>
          </cell>
        </row>
        <row r="1337">
          <cell r="A1337" t="str">
            <v>15/F0145</v>
          </cell>
          <cell r="B1337" t="str">
            <v>LUBAN DEVELOPMENT &amp; INVESTMENT LLC</v>
          </cell>
        </row>
        <row r="1338">
          <cell r="A1338" t="str">
            <v>15/F0146</v>
          </cell>
          <cell r="B1338" t="str">
            <v>YAHYA MOHAMMED SAIF ALFULAITI</v>
          </cell>
        </row>
        <row r="1339">
          <cell r="A1339" t="str">
            <v>15/F0147</v>
          </cell>
          <cell r="B1339" t="str">
            <v>HAMIDA NASSER ALI AL ZADJALI</v>
          </cell>
        </row>
        <row r="1340">
          <cell r="A1340" t="str">
            <v>15/F0148</v>
          </cell>
          <cell r="B1340" t="str">
            <v>LUBAN DEVELOPMENT &amp; INVESTMENT LLC</v>
          </cell>
        </row>
        <row r="1341">
          <cell r="A1341" t="str">
            <v>15/F0149</v>
          </cell>
          <cell r="B1341" t="str">
            <v>Fatima Mohamed Abdullah Al Haddabi</v>
          </cell>
        </row>
        <row r="1342">
          <cell r="A1342" t="str">
            <v>15/F0150</v>
          </cell>
          <cell r="B1342" t="str">
            <v>LUBAN DEVELOPMENT &amp; INVESTMENT LLC</v>
          </cell>
        </row>
        <row r="1343">
          <cell r="A1343" t="str">
            <v>15/F0151</v>
          </cell>
          <cell r="B1343" t="str">
            <v>MAKASIB REAL ESTATE LLC</v>
          </cell>
        </row>
        <row r="1344">
          <cell r="A1344" t="str">
            <v>15/F0152</v>
          </cell>
          <cell r="B1344" t="str">
            <v>TALAL MOHAMMED SAID AL MAAMARI</v>
          </cell>
        </row>
        <row r="1345">
          <cell r="A1345" t="str">
            <v>15/F0153</v>
          </cell>
          <cell r="B1345" t="str">
            <v>MAKASIB REAL ESTATE LLC</v>
          </cell>
        </row>
        <row r="1346">
          <cell r="A1346" t="str">
            <v>15/F0154</v>
          </cell>
          <cell r="B1346" t="str">
            <v>SAID ABDULLAH SAID AL FAHDI</v>
          </cell>
        </row>
        <row r="1347">
          <cell r="A1347" t="str">
            <v>15/F0155</v>
          </cell>
          <cell r="B1347" t="str">
            <v>LUBAN DEVELOPMENT &amp; INVESTMENT LLC</v>
          </cell>
        </row>
        <row r="1348">
          <cell r="A1348" t="str">
            <v>15/F0156</v>
          </cell>
          <cell r="B1348" t="str">
            <v>LUBAN DEVELOPMENT &amp; INVESTMENT LLC</v>
          </cell>
        </row>
        <row r="1349">
          <cell r="A1349" t="str">
            <v>15/F0157</v>
          </cell>
          <cell r="B1349" t="str">
            <v>ALI ABDULMUN'EM IBRAHIM AL MUAINI</v>
          </cell>
        </row>
        <row r="1350">
          <cell r="A1350" t="str">
            <v>15/F0158</v>
          </cell>
          <cell r="B1350" t="str">
            <v>Amal Ali Salim Al Riyami</v>
          </cell>
        </row>
        <row r="1351">
          <cell r="A1351" t="str">
            <v>15/F0159</v>
          </cell>
          <cell r="B1351" t="str">
            <v>Idrees Darweesh Mohammed Al Shandudi</v>
          </cell>
        </row>
        <row r="1352">
          <cell r="A1352" t="str">
            <v>15/F0160</v>
          </cell>
          <cell r="B1352" t="str">
            <v>Ahmed Ghabish Sadullah Al Balushi</v>
          </cell>
        </row>
        <row r="1353">
          <cell r="A1353" t="str">
            <v>15/F0161</v>
          </cell>
          <cell r="B1353" t="str">
            <v>MAKASIB REAL ESTATE LLC</v>
          </cell>
        </row>
        <row r="1354">
          <cell r="A1354" t="str">
            <v>15/F0162</v>
          </cell>
          <cell r="B1354" t="str">
            <v>Wafaa and Suad Daughters of Abdullah Saad Al Muraikhi</v>
          </cell>
        </row>
        <row r="1355">
          <cell r="A1355" t="str">
            <v>15/F0163</v>
          </cell>
          <cell r="B1355" t="str">
            <v>MAKASIB REAL ESTATE LLC</v>
          </cell>
        </row>
        <row r="1356">
          <cell r="A1356" t="str">
            <v>15/F0164</v>
          </cell>
          <cell r="B1356" t="str">
            <v>LUBAN DEVELOPMENT &amp; INVESTMENT LLC</v>
          </cell>
        </row>
        <row r="1357">
          <cell r="A1357" t="str">
            <v>15/F0165</v>
          </cell>
          <cell r="B1357" t="str">
            <v>ALIYA SULTAN SAID AL JUNAIBI</v>
          </cell>
        </row>
        <row r="1358">
          <cell r="A1358" t="str">
            <v>15/F0166</v>
          </cell>
          <cell r="B1358" t="str">
            <v>SAID MOHAMMED ABDULLAH AL RAWAHI</v>
          </cell>
        </row>
        <row r="1359">
          <cell r="A1359" t="str">
            <v>15/F0167</v>
          </cell>
          <cell r="B1359" t="str">
            <v>MAKASIB REAL ESTATE LLC</v>
          </cell>
        </row>
        <row r="1360">
          <cell r="A1360" t="str">
            <v>15/F0168</v>
          </cell>
          <cell r="B1360" t="str">
            <v>MAKASIB REAL ESTATE LLC</v>
          </cell>
        </row>
        <row r="1361">
          <cell r="A1361" t="str">
            <v>15/F0169</v>
          </cell>
          <cell r="B1361" t="str">
            <v>MAKASIB REAL ESTATE LLC</v>
          </cell>
        </row>
        <row r="1362">
          <cell r="A1362" t="str">
            <v>15/F0170</v>
          </cell>
          <cell r="B1362" t="str">
            <v>MAKASIB REAL ESTATE LLC</v>
          </cell>
        </row>
        <row r="1363">
          <cell r="A1363" t="str">
            <v>15/F0171</v>
          </cell>
          <cell r="B1363" t="str">
            <v>MAKASIB REAL ESTATE LLC</v>
          </cell>
        </row>
        <row r="1364">
          <cell r="A1364" t="str">
            <v>15/F0172</v>
          </cell>
          <cell r="B1364" t="str">
            <v>MAKASIB REAL ESTATE LLC</v>
          </cell>
        </row>
        <row r="1365">
          <cell r="A1365" t="str">
            <v>15/F0173</v>
          </cell>
          <cell r="B1365" t="str">
            <v>ABDULMALIK AL SIYABI</v>
          </cell>
        </row>
        <row r="1366">
          <cell r="A1366" t="str">
            <v>15/F0174</v>
          </cell>
          <cell r="B1366" t="str">
            <v>Asaad Said Al Alawi</v>
          </cell>
        </row>
        <row r="1367">
          <cell r="A1367" t="str">
            <v>15/G0001</v>
          </cell>
          <cell r="B1367" t="str">
            <v>KHAMIS YAHYA SAID AL JABRI</v>
          </cell>
        </row>
        <row r="1368">
          <cell r="A1368" t="str">
            <v>15/G0002</v>
          </cell>
          <cell r="B1368" t="str">
            <v>KHAMIS YAHYA SAID AL JABRI</v>
          </cell>
        </row>
        <row r="1369">
          <cell r="A1369" t="str">
            <v>15/G0003</v>
          </cell>
          <cell r="B1369" t="str">
            <v>AMAN REIT</v>
          </cell>
        </row>
        <row r="1370">
          <cell r="A1370" t="str">
            <v>15/G0004</v>
          </cell>
          <cell r="B1370" t="str">
            <v>AMAN REIT</v>
          </cell>
        </row>
        <row r="1371">
          <cell r="A1371" t="str">
            <v>15/G0005</v>
          </cell>
          <cell r="B1371" t="str">
            <v>SULAIMAN ABDULLAH HAMID AL RASHDI</v>
          </cell>
        </row>
        <row r="1372">
          <cell r="A1372" t="str">
            <v>15/G0006</v>
          </cell>
          <cell r="B1372" t="str">
            <v>SULAIMAN ABDULLAH HAMID AL RASHDI</v>
          </cell>
        </row>
        <row r="1373">
          <cell r="A1373" t="str">
            <v>15/G0007</v>
          </cell>
          <cell r="B1373" t="str">
            <v>SULAIMAN ABDULLAH HAMID AL RASHDI</v>
          </cell>
        </row>
        <row r="1374">
          <cell r="A1374" t="str">
            <v>15/G0008</v>
          </cell>
          <cell r="B1374" t="str">
            <v>SULAIMAN ABDULLAH HAMID AL RASHDI</v>
          </cell>
        </row>
        <row r="1375">
          <cell r="A1375" t="str">
            <v>15/G0009</v>
          </cell>
          <cell r="B1375" t="str">
            <v>AMAN REIT</v>
          </cell>
        </row>
        <row r="1376">
          <cell r="A1376" t="str">
            <v>15/G0010</v>
          </cell>
          <cell r="B1376" t="str">
            <v>MOHSIN ZAHRAN MOHAMMED AL KINDI</v>
          </cell>
        </row>
        <row r="1377">
          <cell r="A1377" t="str">
            <v>15/G0011</v>
          </cell>
          <cell r="B1377" t="str">
            <v>HILAL SULAIMAN ABDULLAH AL HASHIMI</v>
          </cell>
        </row>
        <row r="1378">
          <cell r="A1378" t="str">
            <v>15/G0012</v>
          </cell>
          <cell r="B1378" t="str">
            <v>BADER KHAMIS SAID AL YAZIDI</v>
          </cell>
        </row>
        <row r="1379">
          <cell r="A1379" t="str">
            <v>15/G0013</v>
          </cell>
          <cell r="B1379" t="str">
            <v>AMAN REIT</v>
          </cell>
        </row>
        <row r="1380">
          <cell r="A1380" t="str">
            <v>15/G0014</v>
          </cell>
          <cell r="B1380" t="str">
            <v>AMAN REIT</v>
          </cell>
        </row>
        <row r="1381">
          <cell r="A1381" t="str">
            <v>15/G0015</v>
          </cell>
          <cell r="B1381" t="str">
            <v>AISHA AHMED MOHAMED ALHARTHI</v>
          </cell>
        </row>
        <row r="1382">
          <cell r="A1382" t="str">
            <v>15/G0016</v>
          </cell>
          <cell r="B1382" t="str">
            <v>SULAIMAN ABDALLAH MOHAMMED AL RIYAMI</v>
          </cell>
        </row>
        <row r="1383">
          <cell r="A1383" t="str">
            <v>15/G0017</v>
          </cell>
          <cell r="B1383" t="str">
            <v>SALIM HAMOOD MOHAMED AL HARASI</v>
          </cell>
        </row>
        <row r="1384">
          <cell r="A1384" t="str">
            <v>15/G0018</v>
          </cell>
          <cell r="B1384" t="str">
            <v>TALAL HASAN ALI BNAYYAN</v>
          </cell>
        </row>
        <row r="1385">
          <cell r="A1385" t="str">
            <v>15/G0019</v>
          </cell>
          <cell r="B1385" t="str">
            <v>FAHAD NAWAF HATTAB AL HATTAB</v>
          </cell>
        </row>
        <row r="1386">
          <cell r="A1386" t="str">
            <v>15/G0020</v>
          </cell>
          <cell r="B1386" t="str">
            <v>MOHAMED HILAL AL JABRI</v>
          </cell>
        </row>
        <row r="1387">
          <cell r="A1387" t="str">
            <v>15/G0021</v>
          </cell>
          <cell r="B1387" t="str">
            <v>AMAN REIT</v>
          </cell>
        </row>
        <row r="1388">
          <cell r="A1388" t="str">
            <v>15/G0022</v>
          </cell>
          <cell r="B1388" t="str">
            <v>AL MADINA TRADING and CONT EST</v>
          </cell>
        </row>
        <row r="1389">
          <cell r="A1389" t="str">
            <v>15/G0023</v>
          </cell>
          <cell r="B1389" t="str">
            <v>AMAN REIT</v>
          </cell>
        </row>
        <row r="1390">
          <cell r="A1390" t="str">
            <v>15/G0024</v>
          </cell>
          <cell r="B1390" t="str">
            <v>SIYABI BROTHERS</v>
          </cell>
        </row>
        <row r="1391">
          <cell r="A1391" t="str">
            <v>15/G0025</v>
          </cell>
          <cell r="B1391" t="str">
            <v>SIYABI BROTHERS</v>
          </cell>
        </row>
        <row r="1392">
          <cell r="A1392" t="str">
            <v>15/G0026</v>
          </cell>
          <cell r="B1392" t="str">
            <v>SAIF SULAIMAN SAIF AL MAANI</v>
          </cell>
        </row>
        <row r="1393">
          <cell r="A1393" t="str">
            <v>15/G0027</v>
          </cell>
          <cell r="B1393" t="str">
            <v>AMAN REIT</v>
          </cell>
        </row>
        <row r="1394">
          <cell r="A1394" t="str">
            <v>15/G0028</v>
          </cell>
          <cell r="B1394" t="str">
            <v>ABDULLAH KHATAR MARRASH AL HINAI</v>
          </cell>
        </row>
        <row r="1395">
          <cell r="A1395" t="str">
            <v>15/G0029</v>
          </cell>
          <cell r="B1395" t="str">
            <v>AMAN REIT</v>
          </cell>
        </row>
        <row r="1396">
          <cell r="A1396" t="str">
            <v>15/G0030</v>
          </cell>
          <cell r="B1396" t="str">
            <v>AMAN REIT</v>
          </cell>
        </row>
        <row r="1397">
          <cell r="A1397" t="str">
            <v>15/G0031</v>
          </cell>
          <cell r="B1397" t="str">
            <v>AMAN REIT</v>
          </cell>
        </row>
        <row r="1398">
          <cell r="A1398" t="str">
            <v>15/G0032</v>
          </cell>
          <cell r="B1398" t="str">
            <v>ZAKRIA ALI SAIF AL SALMI</v>
          </cell>
        </row>
        <row r="1399">
          <cell r="A1399" t="str">
            <v>15/G0033</v>
          </cell>
          <cell r="B1399" t="str">
            <v>AL KHOORY REAL ESTATE LLC</v>
          </cell>
        </row>
        <row r="1400">
          <cell r="A1400" t="str">
            <v>15/G0034</v>
          </cell>
          <cell r="B1400" t="str">
            <v>SALIM SULAIMAN SAIF AL MAHRUQI</v>
          </cell>
        </row>
        <row r="1401">
          <cell r="A1401" t="str">
            <v>15/G0035</v>
          </cell>
          <cell r="B1401" t="str">
            <v>HILAL SAID HAMDAN AL HAJRI</v>
          </cell>
        </row>
        <row r="1402">
          <cell r="A1402" t="str">
            <v>15/G0036</v>
          </cell>
          <cell r="B1402" t="str">
            <v>HILAL SAID HAMDAN AL HAJRI</v>
          </cell>
        </row>
        <row r="1403">
          <cell r="A1403" t="str">
            <v>15/G0037</v>
          </cell>
          <cell r="B1403" t="str">
            <v>AMAN REIT</v>
          </cell>
        </row>
        <row r="1404">
          <cell r="A1404" t="str">
            <v>15/G0038</v>
          </cell>
          <cell r="B1404" t="str">
            <v>AMAN REIT</v>
          </cell>
        </row>
        <row r="1405">
          <cell r="A1405" t="str">
            <v>15/G0039</v>
          </cell>
          <cell r="B1405" t="str">
            <v>AMAN REIT</v>
          </cell>
        </row>
        <row r="1406">
          <cell r="A1406" t="str">
            <v>15/G0040</v>
          </cell>
          <cell r="B1406" t="str">
            <v>AMAN REIT</v>
          </cell>
        </row>
        <row r="1407">
          <cell r="A1407" t="str">
            <v>15/G0041</v>
          </cell>
          <cell r="B1407" t="str">
            <v>AMAN REIT</v>
          </cell>
        </row>
        <row r="1408">
          <cell r="A1408" t="str">
            <v>15/G0042</v>
          </cell>
          <cell r="B1408" t="str">
            <v>AMAN REIT</v>
          </cell>
        </row>
        <row r="1409">
          <cell r="A1409" t="str">
            <v>15/G0043</v>
          </cell>
          <cell r="B1409" t="str">
            <v>HATEM SALIM AL DUHANI</v>
          </cell>
        </row>
        <row r="1410">
          <cell r="A1410" t="str">
            <v>15/G0044</v>
          </cell>
          <cell r="B1410" t="str">
            <v>AMAN REIT</v>
          </cell>
        </row>
        <row r="1411">
          <cell r="A1411" t="str">
            <v>15/G0045</v>
          </cell>
          <cell r="B1411" t="str">
            <v>AMAN REIT</v>
          </cell>
        </row>
        <row r="1412">
          <cell r="A1412" t="str">
            <v>15/G0046</v>
          </cell>
          <cell r="B1412" t="str">
            <v>AMAN REIT</v>
          </cell>
        </row>
        <row r="1413">
          <cell r="A1413" t="str">
            <v>15/G0047</v>
          </cell>
          <cell r="B1413" t="str">
            <v>MAHMOUD MOHAMED ALY AL GHARBAWY</v>
          </cell>
        </row>
        <row r="1414">
          <cell r="A1414" t="str">
            <v>15/G0048</v>
          </cell>
          <cell r="B1414" t="str">
            <v>AMAN REIT</v>
          </cell>
        </row>
        <row r="1415">
          <cell r="A1415" t="str">
            <v>15/G0049</v>
          </cell>
          <cell r="B1415" t="str">
            <v>AMAN REIT</v>
          </cell>
        </row>
        <row r="1416">
          <cell r="A1416" t="str">
            <v>15/G0050</v>
          </cell>
          <cell r="B1416" t="str">
            <v>MOHAMMED SAIF AL HADHARAMI SONS TRAD CO LLC</v>
          </cell>
        </row>
        <row r="1417">
          <cell r="A1417" t="str">
            <v>15/G0051</v>
          </cell>
          <cell r="B1417" t="str">
            <v>AMAN REIT</v>
          </cell>
        </row>
        <row r="1418">
          <cell r="A1418" t="str">
            <v>15/G0052</v>
          </cell>
          <cell r="B1418" t="str">
            <v>AMAN REIT</v>
          </cell>
        </row>
        <row r="1419">
          <cell r="A1419" t="str">
            <v>15/G0053</v>
          </cell>
          <cell r="B1419" t="str">
            <v>AMAN REIT</v>
          </cell>
        </row>
        <row r="1420">
          <cell r="A1420" t="str">
            <v>15/G0054</v>
          </cell>
          <cell r="B1420" t="str">
            <v>AMAN REIT</v>
          </cell>
        </row>
        <row r="1421">
          <cell r="A1421" t="str">
            <v>15/G0055</v>
          </cell>
          <cell r="B1421" t="str">
            <v>AMAN REIT</v>
          </cell>
        </row>
        <row r="1422">
          <cell r="A1422" t="str">
            <v>15/G0056</v>
          </cell>
          <cell r="B1422" t="str">
            <v>AMAN REIT</v>
          </cell>
        </row>
        <row r="1423">
          <cell r="A1423" t="str">
            <v>15/G0057</v>
          </cell>
          <cell r="B1423" t="str">
            <v>AMAN REIT</v>
          </cell>
        </row>
        <row r="1424">
          <cell r="A1424" t="str">
            <v>15/G0058</v>
          </cell>
          <cell r="B1424" t="str">
            <v>ABDUL RAHIM ABDULLAH HAMOOD AL SHUKAI</v>
          </cell>
        </row>
        <row r="1425">
          <cell r="A1425" t="str">
            <v>15/G0059</v>
          </cell>
          <cell r="B1425" t="str">
            <v>AMAN REIT</v>
          </cell>
        </row>
        <row r="1426">
          <cell r="A1426" t="str">
            <v>15/G0060</v>
          </cell>
          <cell r="B1426" t="str">
            <v>AMAN REIT</v>
          </cell>
        </row>
        <row r="1427">
          <cell r="A1427" t="str">
            <v>15/G0061</v>
          </cell>
          <cell r="B1427" t="str">
            <v>ALI ABDULMUN'EM IBRAHIM AL MUAINI</v>
          </cell>
        </row>
        <row r="1428">
          <cell r="A1428" t="str">
            <v>15/G0062</v>
          </cell>
          <cell r="B1428" t="str">
            <v>AMAN REIT</v>
          </cell>
        </row>
        <row r="1429">
          <cell r="A1429" t="str">
            <v>15/G0063</v>
          </cell>
          <cell r="B1429" t="str">
            <v>KHALID SULTAN SAID AL JUNAIBI</v>
          </cell>
        </row>
        <row r="1430">
          <cell r="A1430" t="str">
            <v>15/G0064</v>
          </cell>
          <cell r="B1430" t="str">
            <v>MOHAMED HUMOD ABDULLAH AL HABSI</v>
          </cell>
        </row>
        <row r="1431">
          <cell r="A1431" t="str">
            <v>15/G0065</v>
          </cell>
          <cell r="B1431" t="str">
            <v>Nakhal Ahlia Investment Company SOAC</v>
          </cell>
        </row>
        <row r="1432">
          <cell r="A1432" t="str">
            <v>15/G0066</v>
          </cell>
          <cell r="B1432" t="str">
            <v>Nakhal Ahlia Investment Company SOAC</v>
          </cell>
        </row>
        <row r="1433">
          <cell r="A1433" t="str">
            <v>15/G0067</v>
          </cell>
          <cell r="B1433" t="str">
            <v>AMAN REIT</v>
          </cell>
        </row>
        <row r="1434">
          <cell r="A1434" t="str">
            <v>15/G0068</v>
          </cell>
          <cell r="B1434" t="str">
            <v>AMAN REIT</v>
          </cell>
        </row>
        <row r="1435">
          <cell r="A1435" t="str">
            <v>15/G0069</v>
          </cell>
          <cell r="B1435" t="str">
            <v>AMAN REIT</v>
          </cell>
        </row>
        <row r="1436">
          <cell r="A1436" t="str">
            <v>15/G0070</v>
          </cell>
          <cell r="B1436" t="str">
            <v>AMAN REIT</v>
          </cell>
        </row>
        <row r="1437">
          <cell r="A1437" t="str">
            <v>15/G0071</v>
          </cell>
          <cell r="B1437" t="str">
            <v>AMAN REIT</v>
          </cell>
        </row>
        <row r="1438">
          <cell r="A1438" t="str">
            <v>15/G0072</v>
          </cell>
          <cell r="B1438" t="str">
            <v>AMAN REIT</v>
          </cell>
        </row>
        <row r="1439">
          <cell r="A1439" t="str">
            <v>15/G0073</v>
          </cell>
          <cell r="B1439" t="str">
            <v>SAID MOHAMMED SAID AL BUSAIDI</v>
          </cell>
        </row>
        <row r="1440">
          <cell r="A1440" t="str">
            <v>15/G0074</v>
          </cell>
          <cell r="B1440" t="str">
            <v>SAID MOHAMMED SAID AL BUSAIDI</v>
          </cell>
        </row>
        <row r="1441">
          <cell r="A1441" t="str">
            <v>15/G0075</v>
          </cell>
          <cell r="B1441" t="str">
            <v>AMAN REIT</v>
          </cell>
        </row>
        <row r="1442">
          <cell r="A1442" t="str">
            <v>15/G0076</v>
          </cell>
          <cell r="B1442" t="str">
            <v>AMAN REIT</v>
          </cell>
        </row>
        <row r="1443">
          <cell r="A1443" t="str">
            <v>15/G0077</v>
          </cell>
          <cell r="B1443" t="str">
            <v>AMAN REIT</v>
          </cell>
        </row>
        <row r="1444">
          <cell r="A1444" t="str">
            <v>15/G0078</v>
          </cell>
          <cell r="B1444" t="str">
            <v>AMAN REIT</v>
          </cell>
        </row>
        <row r="1445">
          <cell r="A1445" t="str">
            <v>16/F0101</v>
          </cell>
          <cell r="B1445" t="str">
            <v>MAJAN COAST FOR INVESTMENT</v>
          </cell>
        </row>
        <row r="1446">
          <cell r="A1446" t="str">
            <v>16/F0102</v>
          </cell>
          <cell r="B1446" t="str">
            <v>HANNA JASSIM RASHED ALBUTI BO TAIBAN</v>
          </cell>
        </row>
        <row r="1447">
          <cell r="A1447" t="str">
            <v>16/F0103</v>
          </cell>
          <cell r="B1447" t="str">
            <v>MAKASIB REAL ESTATE LLC</v>
          </cell>
        </row>
        <row r="1448">
          <cell r="A1448" t="str">
            <v>16/F0104</v>
          </cell>
          <cell r="B1448" t="str">
            <v>ALI NASSER ALI AL MAAMARI</v>
          </cell>
        </row>
        <row r="1449">
          <cell r="A1449" t="str">
            <v>16/F0105</v>
          </cell>
          <cell r="B1449" t="str">
            <v>Khair Thani Bati Al Kiumi</v>
          </cell>
        </row>
        <row r="1450">
          <cell r="A1450" t="str">
            <v>16/F0106</v>
          </cell>
          <cell r="B1450" t="str">
            <v xml:space="preserve">Ibrahim Ahmed Said Al Amri </v>
          </cell>
        </row>
        <row r="1451">
          <cell r="A1451" t="str">
            <v>16/F0107</v>
          </cell>
          <cell r="B1451" t="str">
            <v>Said Hudaib Sulaiman Al Rashdi</v>
          </cell>
        </row>
        <row r="1452">
          <cell r="A1452" t="str">
            <v>16/F0108</v>
          </cell>
          <cell r="B1452" t="str">
            <v>SAMEER HAMED NASSER AL SIYABI</v>
          </cell>
        </row>
        <row r="1453">
          <cell r="A1453" t="str">
            <v>16/F0109</v>
          </cell>
          <cell r="B1453" t="str">
            <v>Mohammed Ahmed  Hamed Al Hashami</v>
          </cell>
        </row>
        <row r="1454">
          <cell r="A1454" t="str">
            <v>16/F0110</v>
          </cell>
          <cell r="B1454" t="str">
            <v>MAKASIB REAL ESTATE LLC</v>
          </cell>
        </row>
        <row r="1455">
          <cell r="A1455" t="str">
            <v>16/F0111</v>
          </cell>
          <cell r="B1455" t="str">
            <v>Adhra Mohamed Sulaiman Al Ismaili</v>
          </cell>
        </row>
        <row r="1456">
          <cell r="A1456" t="str">
            <v>16/F0112</v>
          </cell>
          <cell r="B1456" t="str">
            <v>Abdullah Khalfan Said Al Siyabi</v>
          </cell>
        </row>
        <row r="1457">
          <cell r="A1457" t="str">
            <v>16/F0113</v>
          </cell>
          <cell r="B1457" t="str">
            <v>Fahad Shunain Salim Al Kahali</v>
          </cell>
        </row>
        <row r="1458">
          <cell r="A1458" t="str">
            <v>16/F0114</v>
          </cell>
          <cell r="B1458" t="str">
            <v>SANDAN PARTNER</v>
          </cell>
        </row>
        <row r="1459">
          <cell r="A1459" t="str">
            <v>16/F0115</v>
          </cell>
          <cell r="B1459" t="str">
            <v>SAID SALIM THABIT MOHAMMED AL AMRI</v>
          </cell>
        </row>
        <row r="1460">
          <cell r="A1460" t="str">
            <v>16/F0116</v>
          </cell>
          <cell r="B1460" t="str">
            <v>MAKASIB REAL ESTATE LLC</v>
          </cell>
        </row>
        <row r="1461">
          <cell r="A1461" t="str">
            <v>16/F0117</v>
          </cell>
          <cell r="B1461" t="str">
            <v>MOHAMMED SAIF AL HADHARAMI SONS TRAD CO LLC</v>
          </cell>
        </row>
        <row r="1462">
          <cell r="A1462" t="str">
            <v>16/F0118</v>
          </cell>
          <cell r="B1462" t="str">
            <v>KHALFAN SAID KHALFAN AL RIYAMI</v>
          </cell>
        </row>
        <row r="1463">
          <cell r="A1463" t="str">
            <v>16/F0119</v>
          </cell>
          <cell r="B1463" t="str">
            <v>ABDULFATTAH HAMED SAILM RAWAHI</v>
          </cell>
        </row>
        <row r="1464">
          <cell r="A1464" t="str">
            <v>16/F0120</v>
          </cell>
          <cell r="B1464" t="str">
            <v>AFLAH HAMED SAILM RAWAHI</v>
          </cell>
        </row>
        <row r="1465">
          <cell r="A1465" t="str">
            <v>16/F0121</v>
          </cell>
          <cell r="B1465" t="str">
            <v>AFLAH HAMED SAILM RAWAHI</v>
          </cell>
        </row>
        <row r="1466">
          <cell r="A1466" t="str">
            <v>16/F0122</v>
          </cell>
          <cell r="B1466" t="str">
            <v>AFLAH HAMED SAILM RAWAHI</v>
          </cell>
        </row>
        <row r="1467">
          <cell r="A1467" t="str">
            <v>16/F0123</v>
          </cell>
          <cell r="B1467" t="str">
            <v>AFLAH HAMED SAILM RAWAHI</v>
          </cell>
        </row>
        <row r="1468">
          <cell r="A1468" t="str">
            <v>16/F0124</v>
          </cell>
          <cell r="B1468" t="str">
            <v>ISHAQ HAMED SAILM RAWAHI</v>
          </cell>
        </row>
        <row r="1469">
          <cell r="A1469" t="str">
            <v>16/F0125</v>
          </cell>
          <cell r="B1469" t="str">
            <v>ISHAQ HAMED SAILM RAWAHI</v>
          </cell>
        </row>
        <row r="1470">
          <cell r="A1470" t="str">
            <v>16/F0126</v>
          </cell>
          <cell r="B1470" t="str">
            <v>ABDUL RAHIM HAMED SAILM RAWAHI</v>
          </cell>
        </row>
        <row r="1471">
          <cell r="A1471" t="str">
            <v>16/F0127</v>
          </cell>
          <cell r="B1471" t="str">
            <v>ABDUL RAHIM HAMED SAILM RAWAHI</v>
          </cell>
        </row>
        <row r="1472">
          <cell r="A1472" t="str">
            <v>16/F0128</v>
          </cell>
          <cell r="B1472" t="str">
            <v>MAAN HAMED SAILM RAWAHI</v>
          </cell>
        </row>
        <row r="1473">
          <cell r="A1473" t="str">
            <v>16/F0129</v>
          </cell>
          <cell r="B1473" t="str">
            <v>ALIYA SAID HAMOOD AL HAJRI</v>
          </cell>
        </row>
        <row r="1474">
          <cell r="A1474" t="str">
            <v>16/F0130</v>
          </cell>
          <cell r="B1474" t="str">
            <v>ISMAIL AHMED NASSER AL JAHDHAMI</v>
          </cell>
        </row>
        <row r="1475">
          <cell r="A1475" t="str">
            <v>16/F0131</v>
          </cell>
          <cell r="B1475" t="str">
            <v>AFLAH HAMED SAILM RAWAHI</v>
          </cell>
        </row>
        <row r="1476">
          <cell r="A1476" t="str">
            <v>16/F0132</v>
          </cell>
          <cell r="B1476" t="str">
            <v>AFLAH HAMED SAILM RAWAHI</v>
          </cell>
        </row>
        <row r="1477">
          <cell r="A1477" t="str">
            <v>16/F0133</v>
          </cell>
          <cell r="B1477" t="str">
            <v>ISHAQ HAMED SAILM RAWAHI</v>
          </cell>
        </row>
        <row r="1478">
          <cell r="A1478" t="str">
            <v>16/F0134</v>
          </cell>
          <cell r="B1478" t="str">
            <v>ISHAQ HAMED SAILM RAWAHI</v>
          </cell>
        </row>
        <row r="1479">
          <cell r="A1479" t="str">
            <v>16/F0135</v>
          </cell>
          <cell r="B1479" t="str">
            <v>ABDUL RAHIM HAMED SAILM RAWAHI</v>
          </cell>
        </row>
        <row r="1480">
          <cell r="A1480" t="str">
            <v>16/F0136</v>
          </cell>
          <cell r="B1480" t="str">
            <v>ABDUL RAHIM HAMED SAILM RAWAHI</v>
          </cell>
        </row>
        <row r="1481">
          <cell r="A1481" t="str">
            <v>16/F0137</v>
          </cell>
          <cell r="B1481" t="str">
            <v>BADAR KHALID BADAR AL MAZROUL</v>
          </cell>
        </row>
        <row r="1482">
          <cell r="A1482" t="str">
            <v>16/F0138</v>
          </cell>
          <cell r="B1482" t="str">
            <v>AHMED SAIF MOHAMMED AL HARTHI</v>
          </cell>
        </row>
        <row r="1483">
          <cell r="A1483" t="str">
            <v>16/F0139</v>
          </cell>
          <cell r="B1483" t="str">
            <v>SALIM MOHAMED SAIF AL HARBI</v>
          </cell>
        </row>
        <row r="1484">
          <cell r="A1484" t="str">
            <v>16/F0140</v>
          </cell>
          <cell r="B1484" t="str">
            <v>MAKASIB REAL ESTATE LLC</v>
          </cell>
        </row>
        <row r="1485">
          <cell r="A1485" t="str">
            <v>16/F0141</v>
          </cell>
          <cell r="B1485" t="str">
            <v>SAID KHAMIS SALIM AL BARTAMANI</v>
          </cell>
        </row>
        <row r="1486">
          <cell r="A1486" t="str">
            <v>16/F0142</v>
          </cell>
          <cell r="B1486" t="str">
            <v>MAKASIB REAL ESTATE LLC</v>
          </cell>
        </row>
        <row r="1487">
          <cell r="A1487" t="str">
            <v>16/F0143</v>
          </cell>
          <cell r="B1487" t="str">
            <v>MAKASIB REAL ESTATE LLC</v>
          </cell>
        </row>
        <row r="1488">
          <cell r="A1488" t="str">
            <v>16/F0144</v>
          </cell>
          <cell r="B1488" t="str">
            <v>SULAIMAN MOHAMED HAMOOD AL FAHDI</v>
          </cell>
        </row>
        <row r="1489">
          <cell r="A1489" t="str">
            <v>16/F0145</v>
          </cell>
          <cell r="B1489" t="str">
            <v>SAID SULAIMAN SAID ALSHAQSI</v>
          </cell>
        </row>
        <row r="1490">
          <cell r="A1490" t="str">
            <v>16/F0146</v>
          </cell>
          <cell r="B1490" t="str">
            <v>AHMED HAMED MOHAMMED AL GHAFRI</v>
          </cell>
        </row>
        <row r="1491">
          <cell r="A1491" t="str">
            <v>16/F0147</v>
          </cell>
          <cell r="B1491" t="str">
            <v>HAMOOD KHALIFA HAMOOD AL BUSAIDI</v>
          </cell>
        </row>
        <row r="1492">
          <cell r="A1492" t="str">
            <v>16/F0148</v>
          </cell>
          <cell r="B1492" t="str">
            <v>MAKASIB REAL ESTATE LLC</v>
          </cell>
        </row>
        <row r="1493">
          <cell r="A1493" t="str">
            <v>16/F0149</v>
          </cell>
          <cell r="B1493" t="str">
            <v>Muhannad Mohammed Adam</v>
          </cell>
        </row>
        <row r="1494">
          <cell r="A1494" t="str">
            <v>16/F0150</v>
          </cell>
          <cell r="B1494" t="str">
            <v>MAKASIB REAL ESTATE LLC</v>
          </cell>
        </row>
        <row r="1495">
          <cell r="A1495" t="str">
            <v>16/F0151</v>
          </cell>
          <cell r="B1495" t="str">
            <v>MAKASIB REAL ESTATE LLC</v>
          </cell>
        </row>
        <row r="1496">
          <cell r="A1496" t="str">
            <v>16/F0152</v>
          </cell>
          <cell r="B1496" t="str">
            <v>MAKASIB REAL ESTATE LLC</v>
          </cell>
        </row>
        <row r="1497">
          <cell r="A1497" t="str">
            <v>16/F0153</v>
          </cell>
          <cell r="B1497" t="str">
            <v>MAKASIB REAL ESTATE LLC</v>
          </cell>
        </row>
        <row r="1498">
          <cell r="A1498" t="str">
            <v>16/F0154</v>
          </cell>
          <cell r="B1498" t="str">
            <v>Mohammed Salim Harib  Al Omairi</v>
          </cell>
        </row>
        <row r="1499">
          <cell r="A1499" t="str">
            <v>16/F0155</v>
          </cell>
          <cell r="B1499" t="str">
            <v>MAKASIB REAL ESTATE LLC</v>
          </cell>
        </row>
        <row r="1500">
          <cell r="A1500" t="str">
            <v>16/F0156</v>
          </cell>
          <cell r="B1500" t="str">
            <v>MAHMOOD JAFFAR MOHAMED AL AJMI</v>
          </cell>
        </row>
        <row r="1501">
          <cell r="A1501" t="str">
            <v>16/G0001</v>
          </cell>
          <cell r="B1501" t="str">
            <v>ABDUL HAKEEM HAMED MANAA AL MAMARI</v>
          </cell>
        </row>
        <row r="1502">
          <cell r="A1502" t="str">
            <v>16/G0002</v>
          </cell>
          <cell r="B1502" t="str">
            <v>AMAN REIT</v>
          </cell>
        </row>
        <row r="1503">
          <cell r="A1503" t="str">
            <v>16/G0003</v>
          </cell>
          <cell r="B1503" t="str">
            <v>AMAN REIT</v>
          </cell>
        </row>
        <row r="1504">
          <cell r="A1504" t="str">
            <v>16/G0004</v>
          </cell>
          <cell r="B1504" t="str">
            <v>AMAN REIT</v>
          </cell>
        </row>
        <row r="1505">
          <cell r="A1505" t="str">
            <v>16/G0005</v>
          </cell>
          <cell r="B1505" t="str">
            <v>AMAN REIT</v>
          </cell>
        </row>
        <row r="1506">
          <cell r="A1506" t="str">
            <v>16/G0006</v>
          </cell>
          <cell r="B1506" t="str">
            <v>AMAN REIT</v>
          </cell>
        </row>
        <row r="1507">
          <cell r="A1507" t="str">
            <v>16/G0007</v>
          </cell>
          <cell r="B1507" t="str">
            <v>AMAN REIT</v>
          </cell>
        </row>
        <row r="1508">
          <cell r="A1508" t="str">
            <v>16/G0008</v>
          </cell>
          <cell r="B1508" t="str">
            <v>SAMEER HAMED NASSER AL SIYABI</v>
          </cell>
        </row>
        <row r="1509">
          <cell r="A1509" t="str">
            <v>16/G0009</v>
          </cell>
          <cell r="B1509" t="str">
            <v>AMAN REIT</v>
          </cell>
        </row>
        <row r="1510">
          <cell r="A1510" t="str">
            <v>16/G0010</v>
          </cell>
          <cell r="B1510" t="str">
            <v>AMAN REIT</v>
          </cell>
        </row>
        <row r="1511">
          <cell r="A1511" t="str">
            <v>16/G0011</v>
          </cell>
          <cell r="B1511" t="str">
            <v>AMAN REIT</v>
          </cell>
        </row>
        <row r="1512">
          <cell r="A1512" t="str">
            <v>16/G0012</v>
          </cell>
          <cell r="B1512" t="str">
            <v>AMAN REIT</v>
          </cell>
        </row>
        <row r="1513">
          <cell r="A1513" t="str">
            <v>16/G0013</v>
          </cell>
          <cell r="B1513" t="str">
            <v>AMAN REIT</v>
          </cell>
        </row>
        <row r="1514">
          <cell r="A1514" t="str">
            <v>16/G0014</v>
          </cell>
          <cell r="B1514" t="str">
            <v>AMAN REIT</v>
          </cell>
        </row>
        <row r="1515">
          <cell r="A1515" t="str">
            <v>16/G0015</v>
          </cell>
          <cell r="B1515" t="str">
            <v>AMAN REIT</v>
          </cell>
        </row>
        <row r="1516">
          <cell r="A1516" t="str">
            <v>16/G0016</v>
          </cell>
          <cell r="B1516" t="str">
            <v>MOHSIN SAIF MOHAMED USMAN AL HINAI</v>
          </cell>
        </row>
        <row r="1517">
          <cell r="A1517" t="str">
            <v>16/G0017</v>
          </cell>
          <cell r="B1517" t="str">
            <v>ABDULRAHIM HAMED SALIM AL RAWAHI</v>
          </cell>
        </row>
        <row r="1518">
          <cell r="A1518" t="str">
            <v>16/G0018</v>
          </cell>
          <cell r="B1518" t="str">
            <v>ABDULRAHIM HAMED SALIM AL RAWAHI</v>
          </cell>
        </row>
        <row r="1519">
          <cell r="A1519" t="str">
            <v>16/G0019</v>
          </cell>
          <cell r="B1519" t="str">
            <v>ABDULRAHIM HAMED SALIM AL RAWAHI</v>
          </cell>
        </row>
        <row r="1520">
          <cell r="A1520" t="str">
            <v>16/G0020</v>
          </cell>
          <cell r="B1520" t="str">
            <v>ABDULRAHIM HAMED SALIM AL RAWAHI</v>
          </cell>
        </row>
        <row r="1521">
          <cell r="A1521" t="str">
            <v>16/G0021</v>
          </cell>
          <cell r="B1521" t="str">
            <v>AMAN REIT</v>
          </cell>
        </row>
        <row r="1522">
          <cell r="A1522" t="str">
            <v>16/G0022</v>
          </cell>
          <cell r="B1522" t="str">
            <v>SHAMS SAID HAMOOD AL HAJRI</v>
          </cell>
        </row>
        <row r="1523">
          <cell r="A1523" t="str">
            <v>16/G0023</v>
          </cell>
          <cell r="B1523" t="str">
            <v>GHALIB SAIF SALIM MOHAMED AL NOUFALI</v>
          </cell>
        </row>
        <row r="1524">
          <cell r="A1524" t="str">
            <v>16/G0024</v>
          </cell>
          <cell r="B1524" t="str">
            <v>SALEH AHMED SULTAN AL HABSI</v>
          </cell>
        </row>
        <row r="1525">
          <cell r="A1525" t="str">
            <v>16/G0025</v>
          </cell>
          <cell r="B1525" t="str">
            <v>Badar Saif Khalfan Al Hinai</v>
          </cell>
        </row>
        <row r="1526">
          <cell r="A1526" t="str">
            <v>16/G0026</v>
          </cell>
          <cell r="B1526" t="str">
            <v>AMAN REIT</v>
          </cell>
        </row>
        <row r="1527">
          <cell r="A1527" t="str">
            <v>16/G0027</v>
          </cell>
          <cell r="B1527" t="str">
            <v>AMAN REIT</v>
          </cell>
        </row>
        <row r="1528">
          <cell r="A1528" t="str">
            <v>16/G0028</v>
          </cell>
          <cell r="B1528" t="str">
            <v>AHMED SAIF MOHAMMED AL HARTHI</v>
          </cell>
        </row>
        <row r="1529">
          <cell r="A1529" t="str">
            <v>16/G0029</v>
          </cell>
          <cell r="B1529" t="str">
            <v>ISMAIL AHMED NASSER AL JAHDHAMI</v>
          </cell>
        </row>
        <row r="1530">
          <cell r="A1530" t="str">
            <v>16/G0030</v>
          </cell>
          <cell r="B1530" t="str">
            <v>BADAR KHALID BADAR AL MAZROUL</v>
          </cell>
        </row>
        <row r="1531">
          <cell r="A1531" t="str">
            <v>16/G0031</v>
          </cell>
          <cell r="B1531" t="str">
            <v>SAID SULAIMAN SAID ALSHAQSI</v>
          </cell>
        </row>
        <row r="1532">
          <cell r="A1532" t="str">
            <v>16/G0032</v>
          </cell>
          <cell r="B1532" t="str">
            <v>AMAN REIT</v>
          </cell>
        </row>
        <row r="1533">
          <cell r="A1533" t="str">
            <v>16/G0033</v>
          </cell>
          <cell r="B1533" t="str">
            <v>Nakhal Ahlia Investment Company SOAC</v>
          </cell>
        </row>
        <row r="1534">
          <cell r="A1534" t="str">
            <v>16/G0034</v>
          </cell>
          <cell r="B1534" t="str">
            <v>MUNA ABDULLAH KHALFAN AL SALMI</v>
          </cell>
        </row>
        <row r="1535">
          <cell r="A1535" t="str">
            <v>16/G0035</v>
          </cell>
          <cell r="B1535" t="str">
            <v>MAJAN COAST FOR INVESTMENT</v>
          </cell>
        </row>
        <row r="1536">
          <cell r="A1536" t="str">
            <v>16/G0036</v>
          </cell>
          <cell r="B1536" t="str">
            <v>MAJAN COAST FOR INVESTMENT</v>
          </cell>
        </row>
        <row r="1537">
          <cell r="A1537" t="str">
            <v>16/G0037</v>
          </cell>
          <cell r="B1537" t="str">
            <v>Nakhal Ahlia Investment Company SOAC</v>
          </cell>
        </row>
        <row r="1538">
          <cell r="A1538" t="str">
            <v>16/G0038</v>
          </cell>
          <cell r="B1538" t="str">
            <v>KHALFAN SALEH AL NAABI</v>
          </cell>
        </row>
        <row r="1539">
          <cell r="A1539" t="str">
            <v>16/G0039</v>
          </cell>
          <cell r="B1539" t="str">
            <v>AMAN REIT</v>
          </cell>
        </row>
        <row r="1540">
          <cell r="A1540" t="str">
            <v>16/G0040</v>
          </cell>
          <cell r="B1540" t="str">
            <v>AMAN REIT</v>
          </cell>
        </row>
        <row r="1541">
          <cell r="A1541" t="str">
            <v>16/G0041</v>
          </cell>
          <cell r="B1541" t="str">
            <v>AMAN REIT</v>
          </cell>
        </row>
        <row r="1542">
          <cell r="A1542" t="str">
            <v>16/G0042</v>
          </cell>
          <cell r="B1542" t="str">
            <v>AMAN REIT</v>
          </cell>
        </row>
        <row r="1543">
          <cell r="A1543" t="str">
            <v>16/G0043</v>
          </cell>
          <cell r="B1543" t="str">
            <v>KHARIA MUHAMMED AL GHSANIAH</v>
          </cell>
        </row>
        <row r="1544">
          <cell r="A1544" t="str">
            <v>16/G0044</v>
          </cell>
          <cell r="B1544" t="str">
            <v>AMAN REIT</v>
          </cell>
        </row>
        <row r="1545">
          <cell r="A1545" t="str">
            <v>16/G0045</v>
          </cell>
          <cell r="B1545" t="str">
            <v>SIYABI BROTHERS</v>
          </cell>
        </row>
        <row r="1546">
          <cell r="A1546" t="str">
            <v>16/G0046</v>
          </cell>
          <cell r="B1546" t="str">
            <v>AWAB TAHIR IBRAHIM AL KINDI</v>
          </cell>
        </row>
        <row r="1547">
          <cell r="A1547" t="str">
            <v>16/G0047</v>
          </cell>
          <cell r="B1547" t="str">
            <v>SANDAN PARTNER</v>
          </cell>
        </row>
        <row r="1548">
          <cell r="A1548" t="str">
            <v>16/G0048</v>
          </cell>
          <cell r="B1548" t="str">
            <v>Nakhal Ahlia Investment Company SOAC</v>
          </cell>
        </row>
        <row r="1549">
          <cell r="A1549" t="str">
            <v>16/G0049</v>
          </cell>
          <cell r="B1549" t="str">
            <v>AMAN REIT</v>
          </cell>
        </row>
        <row r="1550">
          <cell r="A1550" t="str">
            <v>16/G0050</v>
          </cell>
          <cell r="B1550" t="str">
            <v>AMAN REIT</v>
          </cell>
        </row>
        <row r="1551">
          <cell r="A1551" t="str">
            <v>16/G0051</v>
          </cell>
          <cell r="B1551" t="str">
            <v>AMAN REIT</v>
          </cell>
        </row>
        <row r="1552">
          <cell r="A1552" t="str">
            <v>16/G0052</v>
          </cell>
          <cell r="B1552" t="str">
            <v>AMAN REIT</v>
          </cell>
        </row>
        <row r="1553">
          <cell r="A1553" t="str">
            <v>17/F0101</v>
          </cell>
          <cell r="B1553" t="str">
            <v>SIYABI BROTHERS</v>
          </cell>
        </row>
        <row r="1554">
          <cell r="A1554" t="str">
            <v>17/F0102</v>
          </cell>
          <cell r="B1554" t="str">
            <v>SIYABI BROTHERS</v>
          </cell>
        </row>
        <row r="1555">
          <cell r="A1555" t="str">
            <v>17/F0103</v>
          </cell>
          <cell r="B1555" t="str">
            <v>MUNA ALI ABDULLAH AL SUBHI</v>
          </cell>
        </row>
        <row r="1556">
          <cell r="A1556" t="str">
            <v>17/F0104</v>
          </cell>
          <cell r="B1556" t="str">
            <v>SIYABI BROTHERS</v>
          </cell>
        </row>
        <row r="1557">
          <cell r="A1557" t="str">
            <v>17/F0105</v>
          </cell>
          <cell r="B1557" t="str">
            <v>SIYABI BROTHERS</v>
          </cell>
        </row>
        <row r="1558">
          <cell r="A1558" t="str">
            <v>17/F0106</v>
          </cell>
          <cell r="B1558" t="str">
            <v>SIYABI BROTHERS</v>
          </cell>
        </row>
        <row r="1559">
          <cell r="A1559" t="str">
            <v>17/F0107</v>
          </cell>
          <cell r="B1559" t="str">
            <v>SIYABI BROTHERS</v>
          </cell>
        </row>
        <row r="1560">
          <cell r="A1560" t="str">
            <v>17/F0108</v>
          </cell>
          <cell r="B1560" t="str">
            <v>SIYABI BROTHERS</v>
          </cell>
        </row>
        <row r="1561">
          <cell r="A1561" t="str">
            <v>17/F0109</v>
          </cell>
          <cell r="B1561" t="str">
            <v>SIYABI BROTHERS</v>
          </cell>
        </row>
        <row r="1562">
          <cell r="A1562" t="str">
            <v>17/F0110</v>
          </cell>
          <cell r="B1562" t="str">
            <v>SIYABI BROTHERS</v>
          </cell>
        </row>
        <row r="1563">
          <cell r="A1563" t="str">
            <v>17/F0111</v>
          </cell>
          <cell r="B1563" t="str">
            <v>SIYABI BROTHERS</v>
          </cell>
        </row>
        <row r="1564">
          <cell r="A1564" t="str">
            <v>17/F0112</v>
          </cell>
          <cell r="B1564" t="str">
            <v>SIYABI BROTHERS</v>
          </cell>
        </row>
        <row r="1565">
          <cell r="A1565" t="str">
            <v>17/F0113</v>
          </cell>
          <cell r="B1565" t="str">
            <v>SIYABI BROTHERS</v>
          </cell>
        </row>
        <row r="1566">
          <cell r="A1566" t="str">
            <v>17/F0114</v>
          </cell>
          <cell r="B1566" t="str">
            <v>SIYABI BROTHERS</v>
          </cell>
        </row>
        <row r="1567">
          <cell r="A1567" t="str">
            <v>17/F0115</v>
          </cell>
          <cell r="B1567" t="str">
            <v>SIYABI BROTHERS</v>
          </cell>
        </row>
        <row r="1568">
          <cell r="A1568" t="str">
            <v>17/F0116</v>
          </cell>
          <cell r="B1568" t="str">
            <v>SIYABI BROTHERS</v>
          </cell>
        </row>
        <row r="1569">
          <cell r="A1569" t="str">
            <v>17/F0117</v>
          </cell>
          <cell r="B1569" t="str">
            <v>SIYABI BROTHERS</v>
          </cell>
        </row>
        <row r="1570">
          <cell r="A1570" t="str">
            <v>17/F0118</v>
          </cell>
          <cell r="B1570" t="str">
            <v>SIYABI BROTHERS</v>
          </cell>
        </row>
        <row r="1571">
          <cell r="A1571" t="str">
            <v>17/F0119</v>
          </cell>
          <cell r="B1571" t="str">
            <v>SIYABI BROTHERS</v>
          </cell>
        </row>
        <row r="1572">
          <cell r="A1572" t="str">
            <v>17/F0120</v>
          </cell>
          <cell r="B1572" t="str">
            <v>SIYABI BROTHERS</v>
          </cell>
        </row>
        <row r="1573">
          <cell r="A1573" t="str">
            <v>17/F0121</v>
          </cell>
          <cell r="B1573" t="str">
            <v>SIYABI BROTHERS</v>
          </cell>
        </row>
        <row r="1574">
          <cell r="A1574" t="str">
            <v>17/F0122</v>
          </cell>
          <cell r="B1574" t="str">
            <v>SIYABI BROTHERS</v>
          </cell>
        </row>
        <row r="1575">
          <cell r="A1575" t="str">
            <v>17/F0123</v>
          </cell>
          <cell r="B1575" t="str">
            <v>SIYABI BROTHERS</v>
          </cell>
        </row>
        <row r="1576">
          <cell r="A1576" t="str">
            <v>17/F0124</v>
          </cell>
          <cell r="B1576" t="str">
            <v>SIYABI BROTHERS</v>
          </cell>
        </row>
        <row r="1577">
          <cell r="A1577" t="str">
            <v>17/F0125</v>
          </cell>
          <cell r="B1577" t="str">
            <v>SIYABI BROTHERS</v>
          </cell>
        </row>
        <row r="1578">
          <cell r="A1578" t="str">
            <v>17/F0126</v>
          </cell>
          <cell r="B1578" t="str">
            <v>SIYABI BROTHERS</v>
          </cell>
        </row>
        <row r="1579">
          <cell r="A1579" t="str">
            <v>17/F0127</v>
          </cell>
          <cell r="B1579" t="str">
            <v>SIYABI BROTHERS</v>
          </cell>
        </row>
        <row r="1580">
          <cell r="A1580" t="str">
            <v>17/F0128</v>
          </cell>
          <cell r="B1580" t="str">
            <v>SIYABI BROTHERS</v>
          </cell>
        </row>
        <row r="1581">
          <cell r="A1581" t="str">
            <v>17/F0129</v>
          </cell>
          <cell r="B1581" t="str">
            <v>SIYABI BROTHERS</v>
          </cell>
        </row>
        <row r="1582">
          <cell r="A1582" t="str">
            <v>17/F0130</v>
          </cell>
          <cell r="B1582" t="str">
            <v>SIYABI BROTHERS</v>
          </cell>
        </row>
        <row r="1583">
          <cell r="A1583" t="str">
            <v>17/F0131</v>
          </cell>
          <cell r="B1583" t="str">
            <v>SIYABI BROTHERS</v>
          </cell>
        </row>
        <row r="1584">
          <cell r="A1584" t="str">
            <v>17/F0132</v>
          </cell>
          <cell r="B1584" t="str">
            <v>SIYABI BROTHERS</v>
          </cell>
        </row>
        <row r="1585">
          <cell r="A1585" t="str">
            <v>17/F0133</v>
          </cell>
          <cell r="B1585" t="str">
            <v>SIYABI BROTHERS</v>
          </cell>
        </row>
        <row r="1586">
          <cell r="A1586" t="str">
            <v>17/F0134</v>
          </cell>
          <cell r="B1586" t="str">
            <v>SIYABI BROTHERS</v>
          </cell>
        </row>
        <row r="1587">
          <cell r="A1587" t="str">
            <v>17/F0135</v>
          </cell>
          <cell r="B1587" t="str">
            <v>SIYABI BROTHERS</v>
          </cell>
        </row>
        <row r="1588">
          <cell r="A1588" t="str">
            <v>17/F0136</v>
          </cell>
          <cell r="B1588" t="str">
            <v>SIYABI BROTHERS</v>
          </cell>
        </row>
        <row r="1589">
          <cell r="A1589" t="str">
            <v>17/F0137</v>
          </cell>
          <cell r="B1589" t="str">
            <v>SIYABI BROTHERS</v>
          </cell>
        </row>
        <row r="1590">
          <cell r="A1590" t="str">
            <v>17/F0138</v>
          </cell>
          <cell r="B1590" t="str">
            <v>SIYABI BROTHERS</v>
          </cell>
        </row>
        <row r="1591">
          <cell r="A1591" t="str">
            <v>17/F0139</v>
          </cell>
          <cell r="B1591" t="str">
            <v>SIYABI BROTHERS</v>
          </cell>
        </row>
        <row r="1592">
          <cell r="A1592" t="str">
            <v>17/F0140</v>
          </cell>
          <cell r="B1592" t="str">
            <v>SIYABI BROTHERS</v>
          </cell>
        </row>
        <row r="1593">
          <cell r="A1593" t="str">
            <v>17/F0141</v>
          </cell>
          <cell r="B1593" t="str">
            <v>SIYABI BROTHERS</v>
          </cell>
        </row>
        <row r="1594">
          <cell r="A1594" t="str">
            <v>17/F0142</v>
          </cell>
          <cell r="B1594" t="str">
            <v>SIYABI BROTHERS</v>
          </cell>
        </row>
        <row r="1595">
          <cell r="A1595" t="str">
            <v>17/F0143</v>
          </cell>
          <cell r="B1595" t="str">
            <v>MOHAMMED ZAHIR SALIM AL ABDELSALAM</v>
          </cell>
        </row>
        <row r="1596">
          <cell r="A1596" t="str">
            <v>17/F0144</v>
          </cell>
          <cell r="B1596" t="str">
            <v>MOHAMMED ZAHIR SALIM AL ABDELSALAM</v>
          </cell>
        </row>
        <row r="1597">
          <cell r="A1597" t="str">
            <v>17/F0145</v>
          </cell>
          <cell r="B1597" t="str">
            <v>SIYABI BROTHERS</v>
          </cell>
        </row>
        <row r="1598">
          <cell r="A1598" t="str">
            <v>17/F0146</v>
          </cell>
          <cell r="B1598" t="str">
            <v>SIYABI BROTHERS</v>
          </cell>
        </row>
        <row r="1599">
          <cell r="A1599" t="str">
            <v>17/F0147</v>
          </cell>
          <cell r="B1599" t="str">
            <v>SIYABI BROTHERS</v>
          </cell>
        </row>
        <row r="1600">
          <cell r="A1600" t="str">
            <v>17/F0148</v>
          </cell>
          <cell r="B1600" t="str">
            <v>SIYABI BROTHERS</v>
          </cell>
        </row>
        <row r="1601">
          <cell r="A1601" t="str">
            <v>17/F0149</v>
          </cell>
          <cell r="B1601" t="str">
            <v>SIYABI BROTHERS</v>
          </cell>
        </row>
        <row r="1602">
          <cell r="A1602" t="str">
            <v>17/F0150</v>
          </cell>
          <cell r="B1602" t="str">
            <v>SIYABI BROTHERS</v>
          </cell>
        </row>
        <row r="1603">
          <cell r="A1603" t="str">
            <v>17/F0151</v>
          </cell>
          <cell r="B1603" t="str">
            <v>SIYABI BROTHERS</v>
          </cell>
        </row>
        <row r="1604">
          <cell r="A1604" t="str">
            <v>17/F0152</v>
          </cell>
          <cell r="B1604" t="str">
            <v>ZAINA MOHAMED HUMAID AL HABSI</v>
          </cell>
        </row>
        <row r="1605">
          <cell r="A1605" t="str">
            <v>17/F0153</v>
          </cell>
          <cell r="B1605" t="str">
            <v>SIYABI BROTHERS</v>
          </cell>
        </row>
        <row r="1606">
          <cell r="A1606" t="str">
            <v>17/F0154</v>
          </cell>
          <cell r="B1606" t="str">
            <v>SIYABI BROTHERS</v>
          </cell>
        </row>
        <row r="1607">
          <cell r="A1607" t="str">
            <v>17/F0155</v>
          </cell>
          <cell r="B1607" t="str">
            <v>SIYABI BROTHERS</v>
          </cell>
        </row>
        <row r="1608">
          <cell r="A1608" t="str">
            <v>17/F0156</v>
          </cell>
          <cell r="B1608" t="str">
            <v>SIYABI BROTHERS</v>
          </cell>
        </row>
        <row r="1609">
          <cell r="A1609" t="str">
            <v>17/F0157</v>
          </cell>
          <cell r="B1609" t="str">
            <v>SIYABI BROTHERS</v>
          </cell>
        </row>
        <row r="1610">
          <cell r="A1610" t="str">
            <v>17/F0158</v>
          </cell>
          <cell r="B1610" t="str">
            <v>SIYABI BROTHERS</v>
          </cell>
        </row>
        <row r="1611">
          <cell r="A1611" t="str">
            <v>17/F0159</v>
          </cell>
          <cell r="B1611" t="str">
            <v>SIYABI BROTHERS</v>
          </cell>
        </row>
        <row r="1612">
          <cell r="A1612" t="str">
            <v>17/F0160</v>
          </cell>
          <cell r="B1612" t="str">
            <v>SIYABI BROTHERS</v>
          </cell>
        </row>
        <row r="1613">
          <cell r="A1613" t="str">
            <v>17/F0161</v>
          </cell>
          <cell r="B1613" t="str">
            <v>SIYABI BROTHERS</v>
          </cell>
        </row>
        <row r="1614">
          <cell r="A1614" t="str">
            <v>17/F0162</v>
          </cell>
          <cell r="B1614" t="str">
            <v>SIYABI BROTHERS</v>
          </cell>
        </row>
        <row r="1615">
          <cell r="A1615" t="str">
            <v>17/F0163</v>
          </cell>
          <cell r="B1615" t="str">
            <v>SIYABI BROTHERS</v>
          </cell>
        </row>
        <row r="1616">
          <cell r="A1616" t="str">
            <v>17/F0164</v>
          </cell>
          <cell r="B1616" t="str">
            <v>SIYABI BROTHERS</v>
          </cell>
        </row>
        <row r="1617">
          <cell r="A1617" t="str">
            <v>17/F0165</v>
          </cell>
          <cell r="B1617" t="str">
            <v>SIYABI BROTHERS</v>
          </cell>
        </row>
        <row r="1618">
          <cell r="A1618" t="str">
            <v>17/F0166</v>
          </cell>
          <cell r="B1618" t="str">
            <v>SIYABI BROTHERS</v>
          </cell>
        </row>
        <row r="1619">
          <cell r="A1619" t="str">
            <v>17/F0167</v>
          </cell>
          <cell r="B1619" t="str">
            <v>SIYABI BROTHERS</v>
          </cell>
        </row>
        <row r="1620">
          <cell r="A1620" t="str">
            <v>17/F0168</v>
          </cell>
          <cell r="B1620" t="str">
            <v>SIYABI BROTHERS</v>
          </cell>
        </row>
        <row r="1621">
          <cell r="A1621" t="str">
            <v>17/G0001</v>
          </cell>
          <cell r="B1621" t="str">
            <v>AHMED ABDULLAH AHMED AL HOOQANI</v>
          </cell>
        </row>
        <row r="1622">
          <cell r="A1622" t="str">
            <v>17/G0002</v>
          </cell>
          <cell r="B1622" t="str">
            <v>HILMI HAMED SALEH AL MARHOOBI</v>
          </cell>
        </row>
        <row r="1623">
          <cell r="A1623" t="str">
            <v>17/G0003</v>
          </cell>
          <cell r="B1623" t="str">
            <v>Nakhal Ahlia Investment Company SOAC</v>
          </cell>
        </row>
        <row r="1624">
          <cell r="A1624" t="str">
            <v>17/G0004</v>
          </cell>
          <cell r="B1624" t="str">
            <v>Nakhal Ahlia Investment Company SOAC</v>
          </cell>
        </row>
        <row r="1625">
          <cell r="A1625" t="str">
            <v>17/G0005</v>
          </cell>
          <cell r="B1625" t="str">
            <v>Nakhal Ahlia Investment Company SOAC</v>
          </cell>
        </row>
        <row r="1626">
          <cell r="A1626" t="str">
            <v>17/G0006</v>
          </cell>
          <cell r="B1626" t="str">
            <v>AMAN REIT</v>
          </cell>
        </row>
        <row r="1627">
          <cell r="A1627" t="str">
            <v>17/G0007</v>
          </cell>
          <cell r="B1627" t="str">
            <v>AMAN REIT</v>
          </cell>
        </row>
        <row r="1628">
          <cell r="A1628" t="str">
            <v>17/G0008</v>
          </cell>
          <cell r="B1628" t="str">
            <v>AMAN REIT</v>
          </cell>
        </row>
        <row r="1629">
          <cell r="A1629" t="str">
            <v>17/G0009</v>
          </cell>
          <cell r="B1629" t="str">
            <v>AMAN REIT</v>
          </cell>
        </row>
        <row r="1630">
          <cell r="A1630" t="str">
            <v>17/G0010</v>
          </cell>
          <cell r="B1630" t="str">
            <v>SAFIYA SALIM MUSELLEM AL ABRAWI</v>
          </cell>
        </row>
        <row r="1631">
          <cell r="A1631" t="str">
            <v>17/G0011</v>
          </cell>
          <cell r="B1631" t="str">
            <v>AMAN REIT</v>
          </cell>
        </row>
        <row r="1632">
          <cell r="A1632" t="str">
            <v>17/G0012</v>
          </cell>
          <cell r="B1632" t="str">
            <v>AMAN REIT</v>
          </cell>
        </row>
        <row r="1633">
          <cell r="A1633" t="str">
            <v>17/G0013</v>
          </cell>
          <cell r="B1633" t="str">
            <v>AMAN REIT</v>
          </cell>
        </row>
        <row r="1634">
          <cell r="A1634" t="str">
            <v>17/G0014</v>
          </cell>
          <cell r="B1634" t="str">
            <v>AMAN REIT</v>
          </cell>
        </row>
        <row r="1635">
          <cell r="A1635" t="str">
            <v>17/G0015</v>
          </cell>
          <cell r="B1635" t="str">
            <v>AMAN REIT</v>
          </cell>
        </row>
        <row r="1636">
          <cell r="A1636" t="str">
            <v>17/G0016</v>
          </cell>
          <cell r="B1636" t="str">
            <v>AMAN REIT</v>
          </cell>
        </row>
        <row r="1637">
          <cell r="A1637" t="str">
            <v>17/G0017</v>
          </cell>
          <cell r="B1637" t="str">
            <v>AMAN REIT</v>
          </cell>
        </row>
        <row r="1638">
          <cell r="A1638" t="str">
            <v>17/G0018</v>
          </cell>
          <cell r="B1638" t="str">
            <v>HAITHAM ALI  MUBARAK AL HABSI</v>
          </cell>
        </row>
        <row r="1639">
          <cell r="A1639" t="str">
            <v>17/G0019</v>
          </cell>
          <cell r="B1639" t="str">
            <v>MOHAMED SULAIMAN ABDULLAH AL RASHDI</v>
          </cell>
        </row>
        <row r="1640">
          <cell r="A1640" t="str">
            <v>17/G0020</v>
          </cell>
          <cell r="B1640" t="str">
            <v>AMAN REIT</v>
          </cell>
        </row>
        <row r="1641">
          <cell r="A1641" t="str">
            <v>17/G0021</v>
          </cell>
          <cell r="B1641" t="str">
            <v>AMAN REIT</v>
          </cell>
        </row>
        <row r="1642">
          <cell r="A1642" t="str">
            <v>17/G0022</v>
          </cell>
          <cell r="B1642" t="str">
            <v>AMAN REIT</v>
          </cell>
        </row>
        <row r="1643">
          <cell r="A1643" t="str">
            <v>17/G0023</v>
          </cell>
          <cell r="B1643" t="str">
            <v>AMAN REIT</v>
          </cell>
        </row>
        <row r="1644">
          <cell r="A1644" t="str">
            <v>17/G0024</v>
          </cell>
          <cell r="B1644" t="str">
            <v>AMAN REIT</v>
          </cell>
        </row>
        <row r="1645">
          <cell r="A1645" t="str">
            <v>17/G0025</v>
          </cell>
          <cell r="B1645" t="str">
            <v>AMAN REIT</v>
          </cell>
        </row>
        <row r="1646">
          <cell r="A1646" t="str">
            <v>17/G0026</v>
          </cell>
          <cell r="B1646" t="str">
            <v>AMAN REIT</v>
          </cell>
        </row>
        <row r="1647">
          <cell r="A1647" t="str">
            <v>17/G0027</v>
          </cell>
          <cell r="B1647" t="str">
            <v>FATMA ALI JAFEER AL LAWATI</v>
          </cell>
        </row>
        <row r="1648">
          <cell r="A1648" t="str">
            <v>17/G0028</v>
          </cell>
          <cell r="B1648" t="str">
            <v>MOHAMED NABAHAN NASSER AL NAAMANI</v>
          </cell>
        </row>
        <row r="1649">
          <cell r="A1649" t="str">
            <v>17/G0029</v>
          </cell>
          <cell r="B1649" t="str">
            <v>AMAN REIT</v>
          </cell>
        </row>
        <row r="1650">
          <cell r="A1650" t="str">
            <v>17/G0030</v>
          </cell>
          <cell r="B1650" t="str">
            <v>AMAN REIT</v>
          </cell>
        </row>
        <row r="1651">
          <cell r="A1651" t="str">
            <v>17/G0031</v>
          </cell>
          <cell r="B1651" t="str">
            <v>AMAN REIT</v>
          </cell>
        </row>
        <row r="1652">
          <cell r="A1652" t="str">
            <v>17/G0032</v>
          </cell>
          <cell r="B1652" t="str">
            <v>AMAN REIT</v>
          </cell>
        </row>
        <row r="1653">
          <cell r="A1653" t="str">
            <v>17/G0033</v>
          </cell>
          <cell r="B1653" t="str">
            <v>AMAN REIT</v>
          </cell>
        </row>
        <row r="1654">
          <cell r="A1654" t="str">
            <v>17/G0034</v>
          </cell>
          <cell r="B1654" t="str">
            <v>AMAN REIT</v>
          </cell>
        </row>
        <row r="1655">
          <cell r="A1655" t="str">
            <v>17/G0035</v>
          </cell>
          <cell r="B1655" t="str">
            <v>ABDULLAH RASHID SAIF AL JAHWARY</v>
          </cell>
        </row>
        <row r="1656">
          <cell r="A1656" t="str">
            <v>17/G0036</v>
          </cell>
          <cell r="B1656" t="str">
            <v>SALEEM MOHAMMED KHAMIS AL SHANDOUDI</v>
          </cell>
        </row>
        <row r="1657">
          <cell r="A1657" t="str">
            <v>17/G0037</v>
          </cell>
          <cell r="B1657" t="str">
            <v>SALEEM MOHAMMED KHAMIS AL SHANDOUDI</v>
          </cell>
        </row>
        <row r="1658">
          <cell r="A1658" t="str">
            <v>17/G0038</v>
          </cell>
          <cell r="B1658" t="str">
            <v>KAMAL KHAMIS ABDULLAH AL HARRASI</v>
          </cell>
        </row>
        <row r="1659">
          <cell r="A1659" t="str">
            <v>17/G0039</v>
          </cell>
          <cell r="B1659" t="str">
            <v>MAJID HAMOOD SALEH AL HADHRAMI</v>
          </cell>
        </row>
        <row r="1660">
          <cell r="A1660" t="str">
            <v>17/G0040</v>
          </cell>
          <cell r="B1660" t="str">
            <v>AMAN REIT</v>
          </cell>
        </row>
        <row r="1661">
          <cell r="A1661" t="str">
            <v>17/G0041</v>
          </cell>
          <cell r="B1661" t="str">
            <v>AMAN REIT</v>
          </cell>
        </row>
        <row r="1662">
          <cell r="A1662" t="str">
            <v>17/G0042</v>
          </cell>
          <cell r="B1662" t="str">
            <v>AMAN REIT</v>
          </cell>
        </row>
        <row r="1663">
          <cell r="A1663" t="str">
            <v>17/G0043</v>
          </cell>
          <cell r="B1663" t="str">
            <v>AMAN REIT</v>
          </cell>
        </row>
        <row r="1664">
          <cell r="A1664" t="str">
            <v>17/G0044</v>
          </cell>
          <cell r="B1664" t="str">
            <v>RAYA NASSER AL SHARYANI</v>
          </cell>
        </row>
        <row r="1665">
          <cell r="A1665" t="str">
            <v>17/G0045</v>
          </cell>
          <cell r="B1665" t="str">
            <v>SULT RASHID AL KHARUSI</v>
          </cell>
        </row>
        <row r="1666">
          <cell r="A1666" t="str">
            <v>17/G0046</v>
          </cell>
          <cell r="B1666" t="str">
            <v>AMAN REIT</v>
          </cell>
        </row>
        <row r="1667">
          <cell r="A1667" t="str">
            <v>17/G0047</v>
          </cell>
          <cell r="B1667" t="str">
            <v>AMAN REIT</v>
          </cell>
        </row>
        <row r="1668">
          <cell r="A1668" t="str">
            <v>17/G0048</v>
          </cell>
          <cell r="B1668" t="str">
            <v>OMAR SAID HAMED AL DUWAIKI</v>
          </cell>
        </row>
        <row r="1669">
          <cell r="A1669" t="str">
            <v>17/G0049</v>
          </cell>
          <cell r="B1669" t="str">
            <v>OMAR SAID HAMED AL DUWAIKI</v>
          </cell>
        </row>
        <row r="1670">
          <cell r="A1670" t="str">
            <v>17/G0050</v>
          </cell>
          <cell r="B1670" t="str">
            <v>TALAL ALI SAID AL RIYAMI</v>
          </cell>
        </row>
        <row r="1671">
          <cell r="A1671" t="str">
            <v>17/G0051</v>
          </cell>
          <cell r="B1671" t="str">
            <v>AMAN REIT</v>
          </cell>
        </row>
        <row r="1672">
          <cell r="A1672" t="str">
            <v>17/G0052</v>
          </cell>
          <cell r="B1672" t="str">
            <v>AMAN REIT</v>
          </cell>
        </row>
        <row r="1673">
          <cell r="A1673" t="str">
            <v>17/G0053</v>
          </cell>
          <cell r="B1673" t="str">
            <v>KHALAF SAID SULAIMAN AL HASHAMI</v>
          </cell>
        </row>
        <row r="1674">
          <cell r="A1674" t="str">
            <v>17/G0054</v>
          </cell>
          <cell r="B1674" t="str">
            <v>HILAL NASSER SALIM AL SABBARI</v>
          </cell>
        </row>
        <row r="1675">
          <cell r="A1675" t="str">
            <v>17/G0055</v>
          </cell>
          <cell r="B1675" t="str">
            <v>HILAL NASSER SALIM AL SABBARI</v>
          </cell>
        </row>
        <row r="1676">
          <cell r="A1676" t="str">
            <v>17/G0056</v>
          </cell>
          <cell r="B1676" t="str">
            <v>AMAN REIT</v>
          </cell>
        </row>
        <row r="1677">
          <cell r="A1677" t="str">
            <v>17/G0057</v>
          </cell>
          <cell r="B1677" t="str">
            <v>MARYAM KHALFAN ABDULLAH AL LAMKI</v>
          </cell>
        </row>
        <row r="1678">
          <cell r="A1678" t="str">
            <v>17/G0058</v>
          </cell>
          <cell r="B1678" t="str">
            <v>AMAN REIT</v>
          </cell>
        </row>
        <row r="1679">
          <cell r="A1679" t="str">
            <v>17/G0059</v>
          </cell>
          <cell r="B1679" t="str">
            <v>AMAN REIT</v>
          </cell>
        </row>
        <row r="1680">
          <cell r="A1680" t="str">
            <v>17/G0060</v>
          </cell>
          <cell r="B1680" t="str">
            <v>AMAN REIT</v>
          </cell>
        </row>
        <row r="1681">
          <cell r="A1681" t="str">
            <v>17/G0061</v>
          </cell>
          <cell r="B1681" t="str">
            <v>SHAMSA HAMAD ALI AL JAHWARI</v>
          </cell>
        </row>
        <row r="1682">
          <cell r="A1682" t="str">
            <v>17/G0062</v>
          </cell>
          <cell r="B1682" t="str">
            <v>AMAN REIT</v>
          </cell>
        </row>
        <row r="1683">
          <cell r="A1683" t="str">
            <v>17/G0063</v>
          </cell>
          <cell r="B1683" t="str">
            <v>FAHAD MOHAMED ALI AL MAKTUMI</v>
          </cell>
        </row>
        <row r="1684">
          <cell r="A1684" t="str">
            <v>17/G0064</v>
          </cell>
          <cell r="B1684" t="str">
            <v>FAHAD MOHAMED ALI AL MAKTUMI</v>
          </cell>
        </row>
        <row r="1685">
          <cell r="A1685" t="str">
            <v>17/G0065</v>
          </cell>
          <cell r="B1685" t="str">
            <v>ABBAS ABDULAH SALEH AL BAHRANI</v>
          </cell>
        </row>
        <row r="1686">
          <cell r="A1686" t="str">
            <v>17/G0066</v>
          </cell>
          <cell r="B1686" t="str">
            <v>AMAN REIT</v>
          </cell>
        </row>
        <row r="1687">
          <cell r="A1687" t="str">
            <v>17/G0067</v>
          </cell>
          <cell r="B1687" t="str">
            <v>AMAN REIT</v>
          </cell>
        </row>
        <row r="1688">
          <cell r="A1688" t="str">
            <v>17/G0068</v>
          </cell>
          <cell r="B1688" t="str">
            <v>AMAN REIT</v>
          </cell>
        </row>
        <row r="1689">
          <cell r="A1689" t="str">
            <v>17/G0069</v>
          </cell>
          <cell r="B1689" t="str">
            <v>AMAN REIT</v>
          </cell>
        </row>
        <row r="1690">
          <cell r="A1690" t="str">
            <v>17/G0070</v>
          </cell>
          <cell r="B1690" t="str">
            <v>ABDULHAMID HAMID ADAM ISHAQ</v>
          </cell>
        </row>
        <row r="1691">
          <cell r="A1691" t="str">
            <v>17/G0071</v>
          </cell>
          <cell r="B1691" t="str">
            <v>HAMED SAID SALIM AL BADI</v>
          </cell>
        </row>
        <row r="1692">
          <cell r="A1692" t="str">
            <v>17/G0072</v>
          </cell>
          <cell r="B1692" t="str">
            <v>MOHAMMED AYUB SAID AL HARRASI</v>
          </cell>
        </row>
        <row r="1693">
          <cell r="A1693" t="str">
            <v>17/G0073</v>
          </cell>
          <cell r="B1693" t="str">
            <v>AMAN REIT</v>
          </cell>
        </row>
        <row r="1694">
          <cell r="A1694" t="str">
            <v>17/G0074</v>
          </cell>
          <cell r="B1694" t="str">
            <v>AMAN REIT</v>
          </cell>
        </row>
        <row r="1695">
          <cell r="A1695" t="str">
            <v>17/G0075</v>
          </cell>
          <cell r="B1695" t="str">
            <v>AMAN REIT</v>
          </cell>
        </row>
        <row r="1696">
          <cell r="A1696" t="str">
            <v>17/G0076</v>
          </cell>
          <cell r="B1696" t="str">
            <v>AMAN REIT</v>
          </cell>
        </row>
        <row r="1697">
          <cell r="A1697" t="str">
            <v>17/G0077</v>
          </cell>
          <cell r="B1697" t="str">
            <v>AMAN REIT</v>
          </cell>
        </row>
        <row r="1698">
          <cell r="A1698" t="str">
            <v>18/G0001</v>
          </cell>
          <cell r="B1698" t="str">
            <v>USAMA AHMED SALEH AL MARHOON</v>
          </cell>
        </row>
        <row r="1699">
          <cell r="A1699" t="str">
            <v>18/G0002</v>
          </cell>
          <cell r="B1699" t="str">
            <v>AMAN REIT</v>
          </cell>
        </row>
        <row r="1700">
          <cell r="A1700" t="str">
            <v>18/G0035</v>
          </cell>
          <cell r="B1700" t="str">
            <v>AMAN REIT</v>
          </cell>
        </row>
        <row r="1701">
          <cell r="A1701" t="str">
            <v>18/G0036</v>
          </cell>
          <cell r="B1701" t="str">
            <v>FAHAD NASSER ALI AL HARTHY</v>
          </cell>
        </row>
        <row r="1702">
          <cell r="A1702" t="str">
            <v>18/G0037</v>
          </cell>
          <cell r="B1702" t="str">
            <v>AMAN REIT</v>
          </cell>
        </row>
        <row r="1703">
          <cell r="A1703" t="str">
            <v>18/G0038</v>
          </cell>
          <cell r="B1703" t="str">
            <v>SABIH SALIM SAID AL HARTHI</v>
          </cell>
        </row>
        <row r="1704">
          <cell r="A1704" t="str">
            <v>18/G0071</v>
          </cell>
          <cell r="B1704" t="str">
            <v>FALAH YAQOOB ALSABA AL HINAI</v>
          </cell>
        </row>
        <row r="1705">
          <cell r="A1705" t="str">
            <v>18/G0072</v>
          </cell>
          <cell r="B1705" t="str">
            <v>KHAMIS NASSER AL QASMI</v>
          </cell>
        </row>
        <row r="1706">
          <cell r="A1706" t="str">
            <v>19/F0101</v>
          </cell>
          <cell r="B1706" t="str">
            <v>LUBAN DEVELOPMENT &amp; INVESTMENT LLC</v>
          </cell>
        </row>
        <row r="1707">
          <cell r="A1707" t="str">
            <v>19/F0102</v>
          </cell>
          <cell r="B1707" t="str">
            <v>Saleh Sulaiman Ali Al Manthari</v>
          </cell>
        </row>
        <row r="1708">
          <cell r="A1708" t="str">
            <v>19/F0103</v>
          </cell>
          <cell r="B1708" t="str">
            <v>Majid Sinan Saleem Al Abri</v>
          </cell>
        </row>
        <row r="1709">
          <cell r="A1709" t="str">
            <v>19/F0104</v>
          </cell>
          <cell r="B1709" t="str">
            <v>Rayya Salim Yousuf  Al Yahmadi</v>
          </cell>
        </row>
        <row r="1710">
          <cell r="A1710" t="str">
            <v>19/F0105</v>
          </cell>
          <cell r="B1710" t="str">
            <v>SIYABI BROTHERS</v>
          </cell>
        </row>
        <row r="1711">
          <cell r="A1711" t="str">
            <v>19/F0106</v>
          </cell>
          <cell r="B1711" t="str">
            <v>ZAKIA RASHID KHAMIS AL HOSNI</v>
          </cell>
        </row>
        <row r="1712">
          <cell r="A1712" t="str">
            <v>19/F0107</v>
          </cell>
          <cell r="B1712" t="str">
            <v>MOHAMMED SALEH AHMED AL HARTHI</v>
          </cell>
        </row>
        <row r="1713">
          <cell r="A1713" t="str">
            <v>19/F0108</v>
          </cell>
          <cell r="B1713" t="str">
            <v>Mahmood Said Ali Al Abri</v>
          </cell>
        </row>
        <row r="1714">
          <cell r="A1714" t="str">
            <v>19/F0109</v>
          </cell>
          <cell r="B1714" t="str">
            <v>MAKASIB REAL ESTATE LLC</v>
          </cell>
        </row>
        <row r="1715">
          <cell r="A1715" t="str">
            <v>19/F0110</v>
          </cell>
          <cell r="B1715" t="str">
            <v>ALI SAUD MOHAMMED AL RIYAMI</v>
          </cell>
        </row>
        <row r="1716">
          <cell r="A1716" t="str">
            <v>19/F0111</v>
          </cell>
          <cell r="B1716" t="str">
            <v>Abdullah Mohammed Said Al Rahbi</v>
          </cell>
        </row>
        <row r="1717">
          <cell r="A1717" t="str">
            <v>19/F0112</v>
          </cell>
          <cell r="B1717" t="str">
            <v>Basima Said Naser Al Khusaibi</v>
          </cell>
        </row>
        <row r="1718">
          <cell r="A1718" t="str">
            <v>19/F0113</v>
          </cell>
          <cell r="B1718" t="str">
            <v>Basima Said Naser Al Khusaibi</v>
          </cell>
        </row>
        <row r="1719">
          <cell r="A1719" t="str">
            <v>19/F0114</v>
          </cell>
          <cell r="B1719" t="str">
            <v>Fathi Mohammed Al Balushi</v>
          </cell>
        </row>
        <row r="1720">
          <cell r="A1720" t="str">
            <v>19/F0115</v>
          </cell>
          <cell r="B1720" t="str">
            <v>Fathi Mohammed Al Balushi</v>
          </cell>
        </row>
        <row r="1721">
          <cell r="A1721" t="str">
            <v>19/F0116</v>
          </cell>
          <cell r="B1721" t="str">
            <v>Mohammed Khalifa Ali Al Masroori</v>
          </cell>
        </row>
        <row r="1722">
          <cell r="A1722" t="str">
            <v>19/F0117</v>
          </cell>
          <cell r="B1722" t="str">
            <v>Aisha Salim Saleh Al Rashdi</v>
          </cell>
        </row>
        <row r="1723">
          <cell r="A1723" t="str">
            <v>19/F0118</v>
          </cell>
          <cell r="B1723" t="str">
            <v>Azza Khalifa Abdullah Al Kindi</v>
          </cell>
        </row>
        <row r="1724">
          <cell r="A1724" t="str">
            <v>19/F0119</v>
          </cell>
          <cell r="B1724" t="str">
            <v>AWAB TAHIR IBRAHIM AL KINDI</v>
          </cell>
        </row>
        <row r="1725">
          <cell r="A1725" t="str">
            <v>19/F0120</v>
          </cell>
          <cell r="B1725" t="str">
            <v>AWAB TAHIR IBRAHIM AL KINDI</v>
          </cell>
        </row>
        <row r="1726">
          <cell r="A1726" t="str">
            <v>19/F0121</v>
          </cell>
          <cell r="B1726" t="str">
            <v>AWAB TAHIR IBRAHIM AL KINDI</v>
          </cell>
        </row>
        <row r="1727">
          <cell r="A1727" t="str">
            <v>19/F0122</v>
          </cell>
          <cell r="B1727" t="str">
            <v>AWAB TAHIR IBRAHIM AL KINDI</v>
          </cell>
        </row>
        <row r="1728">
          <cell r="A1728" t="str">
            <v>19/F0123</v>
          </cell>
          <cell r="B1728" t="str">
            <v>AWAB TAHIR IBRAHIM AL KINDI</v>
          </cell>
        </row>
        <row r="1729">
          <cell r="A1729" t="str">
            <v>19/F0124</v>
          </cell>
          <cell r="B1729" t="str">
            <v>AWAB TAHIR IBRAHIM AL KINDI</v>
          </cell>
        </row>
        <row r="1730">
          <cell r="A1730" t="str">
            <v>19/F0125</v>
          </cell>
          <cell r="B1730" t="str">
            <v>AWAB TAHIR IBRAHIM AL KINDI</v>
          </cell>
        </row>
        <row r="1731">
          <cell r="A1731" t="str">
            <v>19/F0126</v>
          </cell>
          <cell r="B1731" t="str">
            <v>AWAB TAHIR IBRAHIM AL KINDI</v>
          </cell>
        </row>
        <row r="1732">
          <cell r="A1732" t="str">
            <v>19/F0127</v>
          </cell>
          <cell r="B1732" t="str">
            <v>Maya Abdullah Al Habsi</v>
          </cell>
        </row>
        <row r="1733">
          <cell r="A1733" t="str">
            <v>19/F0128</v>
          </cell>
          <cell r="B1733" t="str">
            <v>Kahaln Abdullah Hilal Al Bahri</v>
          </cell>
        </row>
        <row r="1734">
          <cell r="A1734" t="str">
            <v>19/F0129</v>
          </cell>
          <cell r="B1734" t="str">
            <v>Abid Abdullah Al Maqhousi</v>
          </cell>
        </row>
        <row r="1735">
          <cell r="A1735" t="str">
            <v>19/F0130</v>
          </cell>
          <cell r="B1735" t="str">
            <v>Arfan Abdulhameed Aadam</v>
          </cell>
        </row>
        <row r="1736">
          <cell r="A1736" t="str">
            <v>19/F0131</v>
          </cell>
          <cell r="B1736" t="str">
            <v>Husain Ali Said Al Hattali</v>
          </cell>
        </row>
        <row r="1737">
          <cell r="A1737" t="str">
            <v>19/F0132</v>
          </cell>
          <cell r="B1737" t="str">
            <v>Ishaq Abdulhameed Aadam</v>
          </cell>
        </row>
        <row r="1738">
          <cell r="A1738" t="str">
            <v>19/F0133</v>
          </cell>
          <cell r="B1738" t="str">
            <v>MARIAM MOHAMMED SAIF AL RIYAMI</v>
          </cell>
        </row>
        <row r="1739">
          <cell r="A1739" t="str">
            <v>19/F0134</v>
          </cell>
          <cell r="B1739" t="str">
            <v>MOHAMMED SALEH NASSER AL RIYAMI</v>
          </cell>
        </row>
        <row r="1740">
          <cell r="A1740" t="str">
            <v>19/F0135</v>
          </cell>
          <cell r="B1740" t="str">
            <v>Kawthar Ahmed Abdullah Al Braiki</v>
          </cell>
        </row>
        <row r="1741">
          <cell r="A1741" t="str">
            <v>19/F0136</v>
          </cell>
          <cell r="B1741" t="str">
            <v>Rashid Salim Abdullah Al Ghafri</v>
          </cell>
        </row>
        <row r="1742">
          <cell r="A1742" t="str">
            <v>19/F0137</v>
          </cell>
          <cell r="B1742" t="str">
            <v>AFLAH HARIB ALI</v>
          </cell>
        </row>
        <row r="1743">
          <cell r="A1743" t="str">
            <v>19/F0138</v>
          </cell>
          <cell r="B1743" t="str">
            <v>SAID SAIF MOHAMMED AL SAIDI</v>
          </cell>
        </row>
        <row r="1744">
          <cell r="A1744" t="str">
            <v>19/F0139</v>
          </cell>
          <cell r="B1744" t="str">
            <v>ZAKIYA HAMDAN MOHAMMED AL SIYABI</v>
          </cell>
        </row>
        <row r="1745">
          <cell r="A1745" t="str">
            <v>19/F0140</v>
          </cell>
          <cell r="B1745" t="str">
            <v>SIYABI BROTHERS</v>
          </cell>
        </row>
        <row r="1746">
          <cell r="A1746" t="str">
            <v>19/F0141</v>
          </cell>
          <cell r="B1746" t="str">
            <v>Fahad Abdulhameed Aadam</v>
          </cell>
        </row>
        <row r="1747">
          <cell r="A1747" t="str">
            <v>19/F0142</v>
          </cell>
          <cell r="B1747" t="str">
            <v>MUNTADHIR SHARAF ALI AL MUSAWI</v>
          </cell>
        </row>
        <row r="1748">
          <cell r="A1748" t="str">
            <v>19/F0143</v>
          </cell>
          <cell r="B1748" t="str">
            <v>HILAL ABDULLAH RASHID AL SHURAIQI</v>
          </cell>
        </row>
        <row r="1749">
          <cell r="A1749" t="str">
            <v>19/F0144</v>
          </cell>
          <cell r="B1749" t="str">
            <v>SIYABI BROTHERS</v>
          </cell>
        </row>
        <row r="1750">
          <cell r="A1750" t="str">
            <v>19/F0145</v>
          </cell>
          <cell r="B1750" t="str">
            <v>Tanzeel Ahmed Hamed Al Mahrouqi</v>
          </cell>
        </row>
        <row r="1751">
          <cell r="A1751" t="str">
            <v>19/F0146</v>
          </cell>
          <cell r="B1751" t="str">
            <v>YOUSUF MARHOON KHALAF AL ABRI</v>
          </cell>
        </row>
        <row r="1752">
          <cell r="A1752" t="str">
            <v>19/F0147</v>
          </cell>
          <cell r="B1752" t="str">
            <v>ISHAQ MOHAMED AL SARHNI</v>
          </cell>
        </row>
        <row r="1753">
          <cell r="A1753" t="str">
            <v>19/F0148</v>
          </cell>
          <cell r="B1753" t="str">
            <v>MAKASIB REAL ESTATE LLC</v>
          </cell>
        </row>
        <row r="1754">
          <cell r="A1754" t="str">
            <v>19/F0149</v>
          </cell>
          <cell r="B1754" t="str">
            <v>SIYABI BROTHERS</v>
          </cell>
        </row>
        <row r="1755">
          <cell r="A1755" t="str">
            <v>19/F0150</v>
          </cell>
          <cell r="B1755" t="str">
            <v>SIYABI BROTHERS</v>
          </cell>
        </row>
        <row r="1756">
          <cell r="A1756" t="str">
            <v>19/F0151</v>
          </cell>
          <cell r="B1756" t="str">
            <v>SIYABI BROTHERS</v>
          </cell>
        </row>
        <row r="1757">
          <cell r="A1757" t="str">
            <v>19/F0152</v>
          </cell>
          <cell r="B1757" t="str">
            <v>HAMED MOHAMMED HAMED AL HADHRAMI</v>
          </cell>
        </row>
        <row r="1758">
          <cell r="A1758" t="str">
            <v>19/F0153</v>
          </cell>
          <cell r="B1758" t="str">
            <v>SIYABI BROTHERS</v>
          </cell>
        </row>
        <row r="1759">
          <cell r="A1759" t="str">
            <v>19/F0154</v>
          </cell>
          <cell r="B1759" t="str">
            <v>MOOZA HAMED SULAIMAN AL BUSAIDI</v>
          </cell>
        </row>
        <row r="1760">
          <cell r="A1760" t="str">
            <v>19/F0155</v>
          </cell>
          <cell r="B1760" t="str">
            <v>Majid Nasser SULAIMAN AL BUSAIDI</v>
          </cell>
        </row>
        <row r="1761">
          <cell r="A1761" t="str">
            <v>19/F0156</v>
          </cell>
          <cell r="B1761" t="str">
            <v>SIYABI BROTHERS</v>
          </cell>
        </row>
        <row r="1762">
          <cell r="A1762" t="str">
            <v>19/F0157</v>
          </cell>
          <cell r="B1762" t="str">
            <v>Naima Rashid Ali Al Habsi</v>
          </cell>
        </row>
        <row r="1763">
          <cell r="A1763" t="str">
            <v>19/F0158</v>
          </cell>
          <cell r="B1763" t="str">
            <v>SIYABI BROTHERS</v>
          </cell>
        </row>
        <row r="1764">
          <cell r="A1764" t="str">
            <v>19/F0159</v>
          </cell>
          <cell r="B1764" t="str">
            <v>SIYABI BROTHERS</v>
          </cell>
        </row>
        <row r="1765">
          <cell r="A1765" t="str">
            <v>19/F0160</v>
          </cell>
          <cell r="B1765" t="str">
            <v>SIYABI BROTHERS</v>
          </cell>
        </row>
        <row r="1766">
          <cell r="A1766" t="str">
            <v>19/F0161</v>
          </cell>
          <cell r="B1766" t="str">
            <v>SIYABI BROTHERS</v>
          </cell>
        </row>
        <row r="1767">
          <cell r="A1767" t="str">
            <v>19/F0162</v>
          </cell>
          <cell r="B1767" t="str">
            <v>SIYABI BROTHERS</v>
          </cell>
        </row>
        <row r="1768">
          <cell r="A1768" t="str">
            <v>19/F0163</v>
          </cell>
          <cell r="B1768" t="str">
            <v>SULTAN KHAMIS RASHID AL ALAWI</v>
          </cell>
        </row>
        <row r="1769">
          <cell r="A1769" t="str">
            <v>19/F0164</v>
          </cell>
          <cell r="B1769" t="str">
            <v>Fatima Khamis Abdullah Al Riyami</v>
          </cell>
        </row>
        <row r="1770">
          <cell r="A1770" t="str">
            <v>19/F0165</v>
          </cell>
          <cell r="B1770" t="str">
            <v>Dhuhi Jamal</v>
          </cell>
        </row>
        <row r="1771">
          <cell r="A1771" t="str">
            <v>19/F0166</v>
          </cell>
          <cell r="B1771" t="str">
            <v>SIYABI BROTHERS</v>
          </cell>
        </row>
        <row r="1772">
          <cell r="A1772" t="str">
            <v>19/F0167</v>
          </cell>
          <cell r="B1772" t="str">
            <v>SAID ABDULLAH RASHID AL DHUHLI</v>
          </cell>
        </row>
        <row r="1773">
          <cell r="A1773" t="str">
            <v>19/F0168</v>
          </cell>
          <cell r="B1773" t="str">
            <v>THURAIA and ABDULLAH KHALID HILAL AL NABHANI</v>
          </cell>
        </row>
        <row r="1774">
          <cell r="A1774" t="str">
            <v>19/F0169</v>
          </cell>
          <cell r="B1774" t="str">
            <v>AHMED HAMED MOHAMMED AL GHAFRI</v>
          </cell>
        </row>
        <row r="1775">
          <cell r="A1775" t="str">
            <v>19/F0170</v>
          </cell>
          <cell r="B1775" t="str">
            <v>FATIMA MOHAMMED HAMED AL YAHMADI</v>
          </cell>
        </row>
        <row r="1776">
          <cell r="A1776" t="str">
            <v>19/F0171</v>
          </cell>
          <cell r="B1776" t="str">
            <v>AL KHATTAB AHMED AL SAWAI</v>
          </cell>
        </row>
        <row r="1777">
          <cell r="A1777" t="str">
            <v>19/F0172</v>
          </cell>
          <cell r="B1777" t="str">
            <v>RASHID HAMED SAIF AL HINAI</v>
          </cell>
        </row>
        <row r="1778">
          <cell r="A1778" t="str">
            <v>19/F0173</v>
          </cell>
          <cell r="B1778" t="str">
            <v>HANI FARAJ ABDULLAH AL RAWAHI</v>
          </cell>
        </row>
        <row r="1779">
          <cell r="A1779" t="str">
            <v>19/F0174</v>
          </cell>
          <cell r="B1779" t="str">
            <v>Dalal Azzan Ali Al Siyabi</v>
          </cell>
        </row>
        <row r="1780">
          <cell r="A1780" t="str">
            <v>19/F0175</v>
          </cell>
          <cell r="B1780" t="str">
            <v>MUSTAFA KHALIFA SALIM AL SULAIMI</v>
          </cell>
        </row>
        <row r="1781">
          <cell r="A1781" t="str">
            <v>19/F0176</v>
          </cell>
          <cell r="B1781" t="str">
            <v>AWAB TAHIR IBRAHIM AL KINDI</v>
          </cell>
        </row>
        <row r="1782">
          <cell r="A1782" t="str">
            <v>19/F0177</v>
          </cell>
          <cell r="B1782" t="str">
            <v>AWAB TAHIR IBRAHIM AL KINDI</v>
          </cell>
        </row>
        <row r="1783">
          <cell r="A1783" t="str">
            <v>19/F0178</v>
          </cell>
          <cell r="B1783" t="str">
            <v>AWAB TAHIR IBRAHIM AL KINDI</v>
          </cell>
        </row>
        <row r="1784">
          <cell r="A1784" t="str">
            <v>19/F0179</v>
          </cell>
          <cell r="B1784" t="str">
            <v>AWAB TAHIR IBRAHIM AL KINDI</v>
          </cell>
        </row>
        <row r="1785">
          <cell r="A1785" t="str">
            <v>19/F0180</v>
          </cell>
          <cell r="B1785" t="str">
            <v>AWAB TAHIR IBRAHIM AL KINDI</v>
          </cell>
        </row>
        <row r="1786">
          <cell r="A1786" t="str">
            <v>19/F0181</v>
          </cell>
          <cell r="B1786" t="str">
            <v>AWAB TAHIR IBRAHIM AL KINDI</v>
          </cell>
        </row>
        <row r="1787">
          <cell r="A1787" t="str">
            <v>19/F0182</v>
          </cell>
          <cell r="B1787" t="str">
            <v>AWAB TAHIR IBRAHIM AL KINDI</v>
          </cell>
        </row>
        <row r="1788">
          <cell r="A1788" t="str">
            <v>19/F0183</v>
          </cell>
          <cell r="B1788" t="str">
            <v>AWAB TAHIR IBRAHIM AL KINDI</v>
          </cell>
        </row>
        <row r="1789">
          <cell r="A1789" t="str">
            <v>19/F0184</v>
          </cell>
          <cell r="B1789" t="str">
            <v>Ali Khamis Mohammed Al Busaidi</v>
          </cell>
        </row>
        <row r="1790">
          <cell r="A1790" t="str">
            <v>19/F0185</v>
          </cell>
          <cell r="B1790" t="str">
            <v>ABDELSALAM HAMED MOHAMMED AL RAMADHANI</v>
          </cell>
        </row>
        <row r="1791">
          <cell r="A1791" t="str">
            <v>19/F0186</v>
          </cell>
          <cell r="B1791" t="str">
            <v>AMIRA ABDULLAH KHAMIS AL ABRI</v>
          </cell>
        </row>
        <row r="1792">
          <cell r="A1792" t="str">
            <v>19/F0187</v>
          </cell>
          <cell r="B1792" t="str">
            <v xml:space="preserve"> Zakaryia and Ahmed Al Rashdi</v>
          </cell>
        </row>
        <row r="1793">
          <cell r="A1793" t="str">
            <v>19/F0188</v>
          </cell>
          <cell r="B1793" t="str">
            <v>HILAL AL ABRI</v>
          </cell>
        </row>
        <row r="1794">
          <cell r="A1794" t="str">
            <v>19/F0189</v>
          </cell>
          <cell r="B1794" t="str">
            <v>ABDULLAH AL ABRI</v>
          </cell>
        </row>
        <row r="1795">
          <cell r="A1795" t="str">
            <v>19/F0190</v>
          </cell>
          <cell r="B1795" t="str">
            <v>HAMOOD AL ABRI</v>
          </cell>
        </row>
        <row r="1796">
          <cell r="A1796" t="str">
            <v>19/F0191</v>
          </cell>
          <cell r="B1796" t="str">
            <v>Majid Mubarak Hamdan Al Rahbi</v>
          </cell>
        </row>
        <row r="1797">
          <cell r="A1797" t="str">
            <v>19/F0192</v>
          </cell>
          <cell r="B1797" t="str">
            <v>Usama Lal Baksh Al Raisi</v>
          </cell>
        </row>
        <row r="1798">
          <cell r="A1798" t="str">
            <v>19/F0193</v>
          </cell>
          <cell r="B1798" t="str">
            <v>Dhuhi Jamal</v>
          </cell>
        </row>
        <row r="1799">
          <cell r="A1799" t="str">
            <v>19/F0194</v>
          </cell>
          <cell r="B1799" t="str">
            <v>ABDELSALAM HAMED MOHAMMED AL RAMADHANI</v>
          </cell>
        </row>
        <row r="1800">
          <cell r="A1800" t="str">
            <v>19/F0195</v>
          </cell>
          <cell r="B1800" t="str">
            <v>SHAIMA HAMED MOHAMMED AL RAMADHANI</v>
          </cell>
        </row>
        <row r="1801">
          <cell r="A1801" t="str">
            <v>19/F0196</v>
          </cell>
          <cell r="B1801" t="str">
            <v>FADIAH NASSER SAID AL HINAI</v>
          </cell>
        </row>
        <row r="1802">
          <cell r="A1802" t="str">
            <v>19/F0197</v>
          </cell>
          <cell r="B1802" t="str">
            <v>KHALFAN SAID ABDULLAH AL HINAI</v>
          </cell>
        </row>
        <row r="1803">
          <cell r="A1803" t="str">
            <v>19/F0198</v>
          </cell>
          <cell r="B1803" t="str">
            <v>ALI SALIM SAID AL BALUSHI</v>
          </cell>
        </row>
        <row r="1804">
          <cell r="A1804" t="str">
            <v>19/F0199</v>
          </cell>
          <cell r="B1804" t="str">
            <v>Mohammed Salim Essa Al Sulaimi</v>
          </cell>
        </row>
        <row r="1805">
          <cell r="A1805" t="str">
            <v>19/F1100</v>
          </cell>
          <cell r="B1805" t="str">
            <v>FATIMA SALEH AHMED AL HARTHI</v>
          </cell>
        </row>
        <row r="1806">
          <cell r="A1806" t="str">
            <v>19/F1101</v>
          </cell>
          <cell r="B1806" t="str">
            <v>Salim Khalfan Mohammed Al Ishaqi</v>
          </cell>
        </row>
        <row r="1807">
          <cell r="A1807" t="str">
            <v>19/F1102</v>
          </cell>
          <cell r="B1807" t="str">
            <v>Said Salim Mohammed Al Badi</v>
          </cell>
        </row>
        <row r="1808">
          <cell r="A1808" t="str">
            <v>19/F1103</v>
          </cell>
          <cell r="B1808" t="str">
            <v>SIYABI BROTHERS</v>
          </cell>
        </row>
        <row r="1809">
          <cell r="A1809" t="str">
            <v>19/F1104</v>
          </cell>
          <cell r="B1809" t="str">
            <v>Abdullah Hamed Mohammed Al Siyabi</v>
          </cell>
        </row>
        <row r="1810">
          <cell r="A1810" t="str">
            <v>19/F1105</v>
          </cell>
          <cell r="B1810" t="str">
            <v>Khalfan Said Al Busaidi</v>
          </cell>
        </row>
        <row r="1811">
          <cell r="A1811" t="str">
            <v>19/F1106</v>
          </cell>
          <cell r="B1811" t="str">
            <v>Khalfan Said Al Busaidi</v>
          </cell>
        </row>
        <row r="1812">
          <cell r="A1812" t="str">
            <v>19/F1107</v>
          </cell>
          <cell r="B1812" t="str">
            <v>MOHAMMED SALEH AHMED ABDULLAH AL HARTHI</v>
          </cell>
        </row>
        <row r="1813">
          <cell r="A1813" t="str">
            <v>19/F1108</v>
          </cell>
          <cell r="B1813" t="str">
            <v>SIYABI BROTHERS</v>
          </cell>
        </row>
        <row r="1814">
          <cell r="A1814" t="str">
            <v>19/F1109</v>
          </cell>
          <cell r="B1814" t="str">
            <v>SIYABI BROTHERS</v>
          </cell>
        </row>
        <row r="1815">
          <cell r="A1815" t="str">
            <v>19/F1110</v>
          </cell>
          <cell r="B1815" t="str">
            <v>Saud Jabir Mohammed Al Busaidi</v>
          </cell>
        </row>
        <row r="1816">
          <cell r="A1816" t="str">
            <v>19/F1111</v>
          </cell>
          <cell r="B1816" t="str">
            <v>MAKASIB REAL ESTATE LLC</v>
          </cell>
        </row>
        <row r="1817">
          <cell r="A1817" t="str">
            <v>19/F1112</v>
          </cell>
          <cell r="B1817" t="str">
            <v>Abdulhameed Aadam Ishaq</v>
          </cell>
        </row>
        <row r="1818">
          <cell r="A1818" t="str">
            <v>19/F1113</v>
          </cell>
          <cell r="B1818" t="str">
            <v>Abdulhameed Aadam Ishaq</v>
          </cell>
        </row>
        <row r="1819">
          <cell r="A1819" t="str">
            <v>19/F1114</v>
          </cell>
          <cell r="B1819" t="str">
            <v>HAMED AZZAN ALI AL SIYABI</v>
          </cell>
        </row>
        <row r="1820">
          <cell r="A1820" t="str">
            <v>19/F1115</v>
          </cell>
          <cell r="B1820" t="str">
            <v>HAMED AZZAN ALI AL SIYABI</v>
          </cell>
        </row>
        <row r="1821">
          <cell r="A1821" t="str">
            <v>19/F1116</v>
          </cell>
          <cell r="B1821" t="str">
            <v>SIYABI BROTHERS</v>
          </cell>
        </row>
        <row r="1822">
          <cell r="A1822" t="str">
            <v>19/G0001</v>
          </cell>
          <cell r="B1822" t="str">
            <v>AMAN REIT</v>
          </cell>
        </row>
        <row r="1823">
          <cell r="A1823" t="str">
            <v>19/G0002</v>
          </cell>
          <cell r="B1823" t="str">
            <v>AMAN REIT</v>
          </cell>
        </row>
        <row r="1824">
          <cell r="A1824" t="str">
            <v>19/G0003</v>
          </cell>
          <cell r="B1824" t="str">
            <v>TAMIMA RASHID HAMOOD AL DIGHAISHI</v>
          </cell>
        </row>
        <row r="1825">
          <cell r="A1825" t="str">
            <v>19/G0004</v>
          </cell>
          <cell r="B1825" t="str">
            <v>AMAN REIT</v>
          </cell>
        </row>
        <row r="1826">
          <cell r="A1826" t="str">
            <v>19/G0005</v>
          </cell>
          <cell r="B1826" t="str">
            <v>AMAN REIT</v>
          </cell>
        </row>
        <row r="1827">
          <cell r="A1827" t="str">
            <v>19/G0006</v>
          </cell>
          <cell r="B1827" t="str">
            <v>AMAN REIT</v>
          </cell>
        </row>
        <row r="1828">
          <cell r="A1828" t="str">
            <v>19/G0007</v>
          </cell>
          <cell r="B1828" t="str">
            <v>AMAN REIT</v>
          </cell>
        </row>
        <row r="1829">
          <cell r="A1829" t="str">
            <v>19/G0008</v>
          </cell>
          <cell r="B1829" t="str">
            <v>AMAN REIT</v>
          </cell>
        </row>
        <row r="1830">
          <cell r="A1830" t="str">
            <v>19/G0009</v>
          </cell>
          <cell r="B1830" t="str">
            <v>KHALFAN HABIB AL OMAIRI</v>
          </cell>
        </row>
        <row r="1831">
          <cell r="A1831" t="str">
            <v>19/G0010</v>
          </cell>
          <cell r="B1831" t="str">
            <v>AMAN REIT</v>
          </cell>
        </row>
        <row r="1832">
          <cell r="A1832" t="str">
            <v>19/G0011</v>
          </cell>
          <cell r="B1832" t="str">
            <v>AMAN REIT</v>
          </cell>
        </row>
        <row r="1833">
          <cell r="A1833" t="str">
            <v>19/G0012</v>
          </cell>
          <cell r="B1833" t="str">
            <v>AMAN REIT</v>
          </cell>
        </row>
        <row r="1834">
          <cell r="A1834" t="str">
            <v>19/G0013</v>
          </cell>
          <cell r="B1834" t="str">
            <v>AMAN REIT</v>
          </cell>
        </row>
        <row r="1835">
          <cell r="A1835" t="str">
            <v>19/G0014</v>
          </cell>
          <cell r="B1835" t="str">
            <v>AMAN REIT</v>
          </cell>
        </row>
        <row r="1836">
          <cell r="A1836" t="str">
            <v>19/G0015</v>
          </cell>
          <cell r="B1836" t="str">
            <v>AMAN REIT</v>
          </cell>
        </row>
        <row r="1837">
          <cell r="A1837" t="str">
            <v>19/G0016</v>
          </cell>
          <cell r="B1837" t="str">
            <v>AMAN REIT</v>
          </cell>
        </row>
        <row r="1838">
          <cell r="A1838" t="str">
            <v>19/G0017</v>
          </cell>
          <cell r="B1838" t="str">
            <v>AMAN REIT</v>
          </cell>
        </row>
        <row r="1839">
          <cell r="A1839" t="str">
            <v>19/G0018</v>
          </cell>
          <cell r="B1839" t="str">
            <v>IMAN KHAMIS HUMAID AL MAQBALI</v>
          </cell>
        </row>
        <row r="1840">
          <cell r="A1840" t="str">
            <v>19/G0019</v>
          </cell>
          <cell r="B1840" t="str">
            <v>HAMAD NAWAF HATTAB AL HATTAB</v>
          </cell>
        </row>
        <row r="1841">
          <cell r="A1841" t="str">
            <v>19/G0020</v>
          </cell>
          <cell r="B1841" t="str">
            <v>AWAB TAHIR IBRAHIM AL KINDI</v>
          </cell>
        </row>
        <row r="1842">
          <cell r="A1842" t="str">
            <v>19/G0021</v>
          </cell>
          <cell r="B1842" t="str">
            <v>AWAB TAHIR IBRAHIM AL KINDI</v>
          </cell>
        </row>
        <row r="1843">
          <cell r="A1843" t="str">
            <v>19/G0022</v>
          </cell>
          <cell r="B1843" t="str">
            <v>AWAB TAHIR IBRAHIM AL KINDI</v>
          </cell>
        </row>
        <row r="1844">
          <cell r="A1844" t="str">
            <v>19/G0023</v>
          </cell>
          <cell r="B1844" t="str">
            <v>AWAB TAHIR IBRAHIM AL KINDI</v>
          </cell>
        </row>
        <row r="1845">
          <cell r="A1845" t="str">
            <v>19/G0024</v>
          </cell>
          <cell r="B1845" t="str">
            <v>AWAB TAHIR IBRAHIM AL KINDI</v>
          </cell>
        </row>
        <row r="1846">
          <cell r="A1846" t="str">
            <v>19/G0025</v>
          </cell>
          <cell r="B1846" t="str">
            <v>AWAB TAHIR IBRAHIM AL KINDI</v>
          </cell>
        </row>
        <row r="1847">
          <cell r="A1847" t="str">
            <v>19/G0026</v>
          </cell>
          <cell r="B1847" t="str">
            <v>AWAB TAHIR IBRAHIM AL KINDI</v>
          </cell>
        </row>
        <row r="1848">
          <cell r="A1848" t="str">
            <v>19/G0027</v>
          </cell>
          <cell r="B1848" t="str">
            <v>ABDULLA KHAMIS ABDULLA AL SAUDI</v>
          </cell>
        </row>
        <row r="1849">
          <cell r="A1849" t="str">
            <v>19/G0028</v>
          </cell>
          <cell r="B1849" t="str">
            <v>YAHYA KHALFAN NASSER AL AAMRI</v>
          </cell>
        </row>
        <row r="1850">
          <cell r="A1850" t="str">
            <v>19/G0029</v>
          </cell>
          <cell r="B1850" t="str">
            <v>AWAB TAHIR IBRAHIM AL KINDI</v>
          </cell>
        </row>
        <row r="1851">
          <cell r="A1851" t="str">
            <v>19/G0030</v>
          </cell>
          <cell r="B1851" t="str">
            <v>AWAB TAHIR IBRAHIM AL KINDI</v>
          </cell>
        </row>
        <row r="1852">
          <cell r="A1852" t="str">
            <v>19/G0031</v>
          </cell>
          <cell r="B1852" t="str">
            <v>AWAB TAHIR IBRAHIM AL KINDI</v>
          </cell>
        </row>
        <row r="1853">
          <cell r="A1853" t="str">
            <v>19/G0032</v>
          </cell>
          <cell r="B1853" t="str">
            <v>AWAB TAHIR IBRAHIM AL KINDI</v>
          </cell>
        </row>
        <row r="1854">
          <cell r="A1854" t="str">
            <v>19/G0033</v>
          </cell>
          <cell r="B1854" t="str">
            <v>AWAB TAHIR IBRAHIM AL KINDI</v>
          </cell>
        </row>
        <row r="1855">
          <cell r="A1855" t="str">
            <v>19/G0034</v>
          </cell>
          <cell r="B1855" t="str">
            <v>AWAB TAHIR IBRAHIM AL KINDI</v>
          </cell>
        </row>
        <row r="1856">
          <cell r="A1856" t="str">
            <v>19/G0035</v>
          </cell>
          <cell r="B1856" t="str">
            <v>AWAB TAHIR IBRAHIM AL KINDI</v>
          </cell>
        </row>
        <row r="1857">
          <cell r="A1857" t="str">
            <v>19/G0036</v>
          </cell>
          <cell r="B1857" t="str">
            <v>EIHAB SALEH MOHAMED AL YAFII</v>
          </cell>
        </row>
        <row r="1858">
          <cell r="A1858" t="str">
            <v>19/G0037</v>
          </cell>
          <cell r="B1858" t="str">
            <v>SAID HAMED MOHAMED AL KHARUSI</v>
          </cell>
        </row>
        <row r="1859">
          <cell r="A1859" t="str">
            <v>19/G0038</v>
          </cell>
          <cell r="B1859" t="str">
            <v>FARIS MOHAMED ABDULLAH AL MAMARI</v>
          </cell>
        </row>
        <row r="1860">
          <cell r="A1860" t="str">
            <v>19/G0039</v>
          </cell>
          <cell r="B1860" t="str">
            <v>AWAB TAHIR IBRAHIM AL KINDI</v>
          </cell>
        </row>
        <row r="1861">
          <cell r="A1861" t="str">
            <v>19/G0040</v>
          </cell>
          <cell r="B1861" t="str">
            <v>AWAB TAHIR IBRAHIM AL KINDI</v>
          </cell>
        </row>
        <row r="1862">
          <cell r="A1862" t="str">
            <v>19/G0041</v>
          </cell>
          <cell r="B1862" t="str">
            <v>AWAB TAHIR IBRAHIM AL KINDI</v>
          </cell>
        </row>
        <row r="1863">
          <cell r="A1863" t="str">
            <v>19/G0042</v>
          </cell>
          <cell r="B1863" t="str">
            <v>HAMED MOHAMMED HAMED AL HADHRAMI</v>
          </cell>
        </row>
        <row r="1864">
          <cell r="A1864" t="str">
            <v>19/G0043</v>
          </cell>
          <cell r="B1864" t="str">
            <v>ABDULLAH JAMIL SAIF AL QURAINI</v>
          </cell>
        </row>
        <row r="1865">
          <cell r="A1865" t="str">
            <v>19/G0044</v>
          </cell>
          <cell r="B1865" t="str">
            <v>AMAN REIT</v>
          </cell>
        </row>
        <row r="1866">
          <cell r="A1866" t="str">
            <v>19/G0045</v>
          </cell>
          <cell r="B1866" t="str">
            <v>YAHYA KHALFAN ABDULLAH AL KINDI</v>
          </cell>
        </row>
        <row r="1867">
          <cell r="A1867" t="str">
            <v>19/G0046</v>
          </cell>
          <cell r="B1867" t="str">
            <v>AHMED KHALFAN ABDULLAH AL KINDI</v>
          </cell>
        </row>
        <row r="1868">
          <cell r="A1868" t="str">
            <v>19/G0047</v>
          </cell>
          <cell r="B1868" t="str">
            <v>ISHAQ MOHAMED AL SARHNI</v>
          </cell>
        </row>
        <row r="1869">
          <cell r="A1869" t="str">
            <v>19/G0048</v>
          </cell>
          <cell r="B1869" t="str">
            <v>SALAH KH M ALJEMAZ</v>
          </cell>
        </row>
        <row r="1870">
          <cell r="A1870" t="str">
            <v>19/G0049</v>
          </cell>
          <cell r="B1870" t="str">
            <v>SALAH KH M ALJEMAZ</v>
          </cell>
        </row>
        <row r="1871">
          <cell r="A1871" t="str">
            <v>19/G0050</v>
          </cell>
          <cell r="B1871" t="str">
            <v>MOHAMED AMUR SULTAN AL RIYAMI</v>
          </cell>
        </row>
        <row r="1872">
          <cell r="A1872" t="str">
            <v>19/G0051</v>
          </cell>
          <cell r="B1872" t="str">
            <v>MOHAMED AMUR SULTAN AL RIYAMI</v>
          </cell>
        </row>
        <row r="1873">
          <cell r="A1873" t="str">
            <v>19/G0052</v>
          </cell>
          <cell r="B1873" t="str">
            <v>AMAN REIT</v>
          </cell>
        </row>
        <row r="1874">
          <cell r="A1874" t="str">
            <v>19/G0053</v>
          </cell>
          <cell r="B1874" t="str">
            <v>SULAIMAN ALI SALIM AL ABRI</v>
          </cell>
        </row>
        <row r="1875">
          <cell r="A1875" t="str">
            <v>19/G0054</v>
          </cell>
          <cell r="B1875" t="str">
            <v>SAID KHALFAN OBAID AL DHABARI</v>
          </cell>
        </row>
        <row r="1876">
          <cell r="A1876" t="str">
            <v>19/G0055</v>
          </cell>
          <cell r="B1876" t="str">
            <v>AMAN REIT</v>
          </cell>
        </row>
        <row r="1877">
          <cell r="A1877" t="str">
            <v>19/G0056</v>
          </cell>
          <cell r="B1877" t="str">
            <v>AHMED SAID KHALFAN AL KHARUSI</v>
          </cell>
        </row>
        <row r="1878">
          <cell r="A1878" t="str">
            <v>19/G0057</v>
          </cell>
          <cell r="B1878" t="str">
            <v>AMAN REIT</v>
          </cell>
        </row>
        <row r="1879">
          <cell r="A1879" t="str">
            <v>19/G0058</v>
          </cell>
          <cell r="B1879" t="str">
            <v>AMAN REIT</v>
          </cell>
        </row>
        <row r="1880">
          <cell r="A1880" t="str">
            <v>19/G0059</v>
          </cell>
          <cell r="B1880" t="str">
            <v>SADIQ MOHAMED ALI MOOSA AL LAWATI</v>
          </cell>
        </row>
        <row r="1881">
          <cell r="A1881" t="str">
            <v>19/G0060</v>
          </cell>
          <cell r="B1881" t="str">
            <v>AMAN REIT</v>
          </cell>
        </row>
        <row r="1882">
          <cell r="A1882" t="str">
            <v>19/G0061</v>
          </cell>
          <cell r="B1882" t="str">
            <v>AMAN REIT</v>
          </cell>
        </row>
        <row r="1883">
          <cell r="A1883" t="str">
            <v>19/G0062</v>
          </cell>
          <cell r="B1883" t="str">
            <v>ABBAS ALI FIDHUSSAIN AL LAWATI</v>
          </cell>
        </row>
        <row r="1884">
          <cell r="A1884" t="str">
            <v>19/G0063</v>
          </cell>
          <cell r="B1884" t="str">
            <v>AMAN REIT</v>
          </cell>
        </row>
        <row r="1885">
          <cell r="A1885" t="str">
            <v>19/G0064</v>
          </cell>
          <cell r="B1885" t="str">
            <v>AMAN REIT</v>
          </cell>
        </row>
        <row r="1886">
          <cell r="A1886" t="str">
            <v>19/G0065</v>
          </cell>
          <cell r="B1886" t="str">
            <v>AMAN REIT</v>
          </cell>
        </row>
        <row r="1887">
          <cell r="A1887" t="str">
            <v>19/G0066</v>
          </cell>
          <cell r="B1887" t="str">
            <v>MARIA ALI KHALFAN AL HOSNI</v>
          </cell>
        </row>
        <row r="1888">
          <cell r="A1888" t="str">
            <v>19/G0067</v>
          </cell>
          <cell r="B1888" t="str">
            <v>SALAH KH M ALJEMAZ</v>
          </cell>
        </row>
        <row r="1889">
          <cell r="A1889" t="str">
            <v>19/G0068</v>
          </cell>
          <cell r="B1889" t="str">
            <v>SALAH KH M ALJEMAZ</v>
          </cell>
        </row>
        <row r="1890">
          <cell r="A1890" t="str">
            <v>19/G0069</v>
          </cell>
          <cell r="B1890" t="str">
            <v>AMAN REIT</v>
          </cell>
        </row>
        <row r="1891">
          <cell r="A1891" t="str">
            <v>19/G0070</v>
          </cell>
          <cell r="B1891" t="str">
            <v>AMAN REIT</v>
          </cell>
        </row>
        <row r="1892">
          <cell r="A1892" t="str">
            <v>19/G0071</v>
          </cell>
          <cell r="B1892" t="str">
            <v>AMAN REIT</v>
          </cell>
        </row>
        <row r="1893">
          <cell r="A1893" t="str">
            <v>19/G0072</v>
          </cell>
          <cell r="B1893" t="str">
            <v>AMAN REIT</v>
          </cell>
        </row>
        <row r="1894">
          <cell r="A1894" t="str">
            <v>19/G0073</v>
          </cell>
          <cell r="B1894" t="str">
            <v>AMAN REIT</v>
          </cell>
        </row>
        <row r="1895">
          <cell r="A1895" t="str">
            <v>19/G0074</v>
          </cell>
          <cell r="B1895" t="str">
            <v>AMAN REIT</v>
          </cell>
        </row>
        <row r="1896">
          <cell r="A1896" t="str">
            <v>19/G0075</v>
          </cell>
          <cell r="B1896" t="str">
            <v>MUSABAHHUMAID SAID AL HAMDI</v>
          </cell>
        </row>
        <row r="1897">
          <cell r="A1897" t="str">
            <v>19/G0076</v>
          </cell>
          <cell r="B1897" t="str">
            <v>AMAN REIT</v>
          </cell>
        </row>
        <row r="1898">
          <cell r="A1898" t="str">
            <v>19/G0077</v>
          </cell>
          <cell r="B1898" t="str">
            <v>AMAN REIT</v>
          </cell>
        </row>
        <row r="1899">
          <cell r="A1899" t="str">
            <v>19/G0078</v>
          </cell>
          <cell r="B1899" t="str">
            <v>AWAB TAHIR IBRAHIM AL KINDI</v>
          </cell>
        </row>
        <row r="1900">
          <cell r="A1900" t="str">
            <v>19/G0079</v>
          </cell>
          <cell r="B1900" t="str">
            <v>AWAB TAHIR IBRAHIM AL KINDI</v>
          </cell>
        </row>
        <row r="1901">
          <cell r="A1901" t="str">
            <v>19/G0080</v>
          </cell>
          <cell r="B1901" t="str">
            <v>AWAB TAHIR IBRAHIM AL KINDI</v>
          </cell>
        </row>
        <row r="1902">
          <cell r="A1902" t="str">
            <v>19/G0081</v>
          </cell>
          <cell r="B1902" t="str">
            <v>AWAB TAHIR IBRAHIM AL KINDI</v>
          </cell>
        </row>
        <row r="1903">
          <cell r="A1903" t="str">
            <v>19/G0082</v>
          </cell>
          <cell r="B1903" t="str">
            <v>AWAB TAHIR IBRAHIM AL KINDI</v>
          </cell>
        </row>
        <row r="1904">
          <cell r="A1904" t="str">
            <v>19/G0083</v>
          </cell>
          <cell r="B1904" t="str">
            <v>AWAB TAHIR IBRAHIM AL KINDI</v>
          </cell>
        </row>
        <row r="1905">
          <cell r="A1905" t="str">
            <v>19/G0084</v>
          </cell>
          <cell r="B1905" t="str">
            <v>AWAB TAHIR IBRAHIM AL KINDI</v>
          </cell>
        </row>
        <row r="1906">
          <cell r="A1906" t="str">
            <v>19/G0085</v>
          </cell>
          <cell r="B1906" t="str">
            <v>AWAB TAHIR IBRAHIM AL KINDI</v>
          </cell>
        </row>
        <row r="1907">
          <cell r="A1907" t="str">
            <v>19/G0086</v>
          </cell>
          <cell r="B1907" t="str">
            <v>AWAB TAHIR IBRAHIM AL KINDI</v>
          </cell>
        </row>
        <row r="1908">
          <cell r="A1908" t="str">
            <v>19/G0087</v>
          </cell>
          <cell r="B1908" t="str">
            <v>AWAB TAHIR IBRAHIM AL KINDI</v>
          </cell>
        </row>
        <row r="1909">
          <cell r="A1909" t="str">
            <v>19/G0088</v>
          </cell>
          <cell r="B1909" t="str">
            <v>AWAB TAHIR IBRAHIM AL KINDI</v>
          </cell>
        </row>
        <row r="1910">
          <cell r="A1910" t="str">
            <v>19/G0089</v>
          </cell>
          <cell r="B1910" t="str">
            <v>AWAB TAHIR IBRAHIM AL KINDI</v>
          </cell>
        </row>
        <row r="1911">
          <cell r="A1911" t="str">
            <v>19/G0090</v>
          </cell>
          <cell r="B1911" t="str">
            <v>AWAB TAHIR IBRAHIM AL KINDI</v>
          </cell>
        </row>
        <row r="1912">
          <cell r="A1912" t="str">
            <v>19/G0091</v>
          </cell>
          <cell r="B1912" t="str">
            <v>AWAB TAHIR IBRAHIM AL KINDI</v>
          </cell>
        </row>
        <row r="1913">
          <cell r="A1913" t="str">
            <v>19/G0092</v>
          </cell>
          <cell r="B1913" t="str">
            <v>AWAB TAHIR IBRAHIM AL KINDI</v>
          </cell>
        </row>
        <row r="1914">
          <cell r="A1914" t="str">
            <v>19/G0093</v>
          </cell>
          <cell r="B1914" t="str">
            <v>AWAB TAHIR IBRAHIM AL KINDI</v>
          </cell>
        </row>
        <row r="1915">
          <cell r="A1915" t="str">
            <v>19/G0094</v>
          </cell>
          <cell r="B1915" t="str">
            <v>AWAB TAHIR IBRAHIM AL KINDI</v>
          </cell>
        </row>
        <row r="1916">
          <cell r="A1916" t="str">
            <v>19/G0095</v>
          </cell>
          <cell r="B1916" t="str">
            <v>AWAB TAHIR IBRAHIM AL KINDI</v>
          </cell>
        </row>
        <row r="1917">
          <cell r="A1917" t="str">
            <v>19/G0096</v>
          </cell>
          <cell r="B1917" t="str">
            <v>AWAB TAHIR IBRAHIM AL KINDI</v>
          </cell>
        </row>
        <row r="1918">
          <cell r="A1918" t="str">
            <v>19/G0097</v>
          </cell>
          <cell r="B1918" t="str">
            <v>AWAB TAHIR IBRAHIM AL KINDI</v>
          </cell>
        </row>
        <row r="1919">
          <cell r="A1919" t="str">
            <v>19/G0098</v>
          </cell>
          <cell r="B1919" t="str">
            <v>AWAB TAHIR IBRAHIM AL KINDI</v>
          </cell>
        </row>
        <row r="1920">
          <cell r="A1920" t="str">
            <v>19/G0099</v>
          </cell>
          <cell r="B1920" t="str">
            <v>AWAB TAHIR IBRAHIM AL KINDI</v>
          </cell>
        </row>
        <row r="1921">
          <cell r="A1921" t="str">
            <v>19/G0100</v>
          </cell>
          <cell r="B1921" t="str">
            <v>AWAB TAHIR IBRAHIM AL KINDI</v>
          </cell>
        </row>
        <row r="1922">
          <cell r="A1922" t="str">
            <v>19/G0101</v>
          </cell>
          <cell r="B1922" t="str">
            <v>AWAB TAHIR IBRAHIM AL KINDI</v>
          </cell>
        </row>
        <row r="1923">
          <cell r="A1923" t="str">
            <v>19/G0102</v>
          </cell>
          <cell r="B1923" t="str">
            <v>OMAR RASHID SALIM AL SAHI</v>
          </cell>
        </row>
        <row r="1924">
          <cell r="A1924" t="str">
            <v>19/G0103</v>
          </cell>
          <cell r="B1924" t="str">
            <v>OMAR RASHID SALIM AL SAHI</v>
          </cell>
        </row>
        <row r="1925">
          <cell r="A1925" t="str">
            <v>19/G0104</v>
          </cell>
          <cell r="B1925" t="str">
            <v>AMAN REIT</v>
          </cell>
        </row>
        <row r="1926">
          <cell r="A1926" t="str">
            <v>19/G0105</v>
          </cell>
          <cell r="B1926" t="str">
            <v>AMAN REIT</v>
          </cell>
        </row>
        <row r="1927">
          <cell r="A1927" t="str">
            <v>19/G0106</v>
          </cell>
          <cell r="B1927" t="str">
            <v>AMAN REIT</v>
          </cell>
        </row>
        <row r="1928">
          <cell r="A1928" t="str">
            <v>19/G0107</v>
          </cell>
          <cell r="B1928" t="str">
            <v>AMAN REIT</v>
          </cell>
        </row>
        <row r="1929">
          <cell r="A1929" t="str">
            <v>19/G0108</v>
          </cell>
          <cell r="B1929" t="str">
            <v>AMAN REIT</v>
          </cell>
        </row>
        <row r="1930">
          <cell r="A1930" t="str">
            <v>19/G0109</v>
          </cell>
          <cell r="B1930" t="str">
            <v>AMAN REIT</v>
          </cell>
        </row>
        <row r="1931">
          <cell r="A1931" t="str">
            <v>19/G0110</v>
          </cell>
          <cell r="B1931" t="str">
            <v>AMAN REIT</v>
          </cell>
        </row>
        <row r="1932">
          <cell r="A1932" t="str">
            <v>19/G0111</v>
          </cell>
          <cell r="B1932" t="str">
            <v>AMAN REIT</v>
          </cell>
        </row>
        <row r="1933">
          <cell r="A1933" t="str">
            <v>19/G0112</v>
          </cell>
          <cell r="B1933" t="str">
            <v>AMAN REIT</v>
          </cell>
        </row>
        <row r="1934">
          <cell r="A1934" t="str">
            <v>19/G0113</v>
          </cell>
          <cell r="B1934" t="str">
            <v>AMAN REIT</v>
          </cell>
        </row>
        <row r="1935">
          <cell r="A1935" t="str">
            <v>19/G0114</v>
          </cell>
          <cell r="B1935" t="str">
            <v>AMAN REIT</v>
          </cell>
        </row>
        <row r="1936">
          <cell r="A1936" t="str">
            <v>19/G0115</v>
          </cell>
          <cell r="B1936" t="str">
            <v>AMAN REIT</v>
          </cell>
        </row>
        <row r="1937">
          <cell r="A1937" t="str">
            <v>19/G0116</v>
          </cell>
          <cell r="B1937" t="str">
            <v>AMAN REIT</v>
          </cell>
        </row>
        <row r="1938">
          <cell r="A1938" t="str">
            <v>19/G0117</v>
          </cell>
          <cell r="B1938" t="str">
            <v>AMAN REIT</v>
          </cell>
        </row>
        <row r="1939">
          <cell r="A1939" t="str">
            <v>19/G0118</v>
          </cell>
          <cell r="B1939" t="str">
            <v>AMAN REIT</v>
          </cell>
        </row>
        <row r="1940">
          <cell r="A1940" t="str">
            <v>19/G0119</v>
          </cell>
          <cell r="B1940" t="str">
            <v>AMAN REIT</v>
          </cell>
        </row>
        <row r="1941">
          <cell r="A1941" t="str">
            <v>19/G0120</v>
          </cell>
          <cell r="B1941" t="str">
            <v>AMAN REIT</v>
          </cell>
        </row>
        <row r="1942">
          <cell r="A1942" t="str">
            <v>19/G0121</v>
          </cell>
          <cell r="B1942" t="str">
            <v>AMAN REIT</v>
          </cell>
        </row>
        <row r="1943">
          <cell r="A1943" t="str">
            <v>19/G0122</v>
          </cell>
          <cell r="B1943" t="str">
            <v>AMAN REIT</v>
          </cell>
        </row>
        <row r="1944">
          <cell r="A1944" t="str">
            <v>19/G0123</v>
          </cell>
          <cell r="B1944" t="str">
            <v>AMAN REIT</v>
          </cell>
        </row>
        <row r="1945">
          <cell r="A1945" t="str">
            <v>19/G0124</v>
          </cell>
          <cell r="B1945" t="str">
            <v>AMAN REIT</v>
          </cell>
        </row>
        <row r="1946">
          <cell r="A1946" t="str">
            <v>19/G0125</v>
          </cell>
          <cell r="B1946" t="str">
            <v>AMAN REIT</v>
          </cell>
        </row>
        <row r="1947">
          <cell r="A1947" t="str">
            <v>19/G0126</v>
          </cell>
          <cell r="B1947" t="str">
            <v>AMAN REIT</v>
          </cell>
        </row>
        <row r="1948">
          <cell r="A1948" t="str">
            <v>19/G0127</v>
          </cell>
          <cell r="B1948" t="str">
            <v>AMAN REIT</v>
          </cell>
        </row>
        <row r="1949">
          <cell r="A1949" t="str">
            <v>19/G0128</v>
          </cell>
          <cell r="B1949" t="str">
            <v>AMAN REIT</v>
          </cell>
        </row>
        <row r="1950">
          <cell r="A1950" t="str">
            <v>20/F0101</v>
          </cell>
          <cell r="B1950" t="str">
            <v>SAID AMUR ALI AL HABSI</v>
          </cell>
        </row>
        <row r="1951">
          <cell r="A1951" t="str">
            <v>20/F0102</v>
          </cell>
          <cell r="B1951" t="str">
            <v>MUNNA SALEEM SAAD AL HAJRI</v>
          </cell>
        </row>
        <row r="1952">
          <cell r="A1952" t="str">
            <v>20/F0103</v>
          </cell>
          <cell r="B1952" t="str">
            <v>SALIM MOHAMMED KHAMIS AL SHUKAILI</v>
          </cell>
        </row>
        <row r="1953">
          <cell r="A1953" t="str">
            <v>20/F0104</v>
          </cell>
          <cell r="B1953" t="str">
            <v>MOHAMMED KHAMIS AL SHUKAILI</v>
          </cell>
        </row>
        <row r="1954">
          <cell r="A1954" t="str">
            <v>20/F0105</v>
          </cell>
          <cell r="B1954" t="str">
            <v>SAMIYA SALIM ALI AL KHALDI</v>
          </cell>
        </row>
        <row r="1955">
          <cell r="A1955" t="str">
            <v>20/F0106</v>
          </cell>
          <cell r="B1955" t="str">
            <v>BARKHIT HAMED BAKTHIT AL RUBAIY</v>
          </cell>
        </row>
        <row r="1956">
          <cell r="A1956" t="str">
            <v>20/F0107</v>
          </cell>
          <cell r="B1956" t="str">
            <v>IBRAHIM SULAIMAN MUHANNA AL KINDI</v>
          </cell>
        </row>
        <row r="1957">
          <cell r="A1957" t="str">
            <v>20/F0108</v>
          </cell>
          <cell r="B1957" t="str">
            <v>SAUD ABDULLAH SAID AL BAHRI</v>
          </cell>
        </row>
        <row r="1958">
          <cell r="A1958" t="str">
            <v>20/F0109</v>
          </cell>
          <cell r="B1958" t="str">
            <v>AISHA ABDULLAH AHMED AL KINDI</v>
          </cell>
        </row>
        <row r="1959">
          <cell r="A1959" t="str">
            <v>20/F0110</v>
          </cell>
          <cell r="B1959" t="str">
            <v>Khulood Jaber Taskar Al Awaira</v>
          </cell>
        </row>
        <row r="1960">
          <cell r="A1960" t="str">
            <v>20/F0111</v>
          </cell>
          <cell r="B1960" t="str">
            <v>AHMED SALIM ABDULLAH AL QARWASHI</v>
          </cell>
        </row>
        <row r="1961">
          <cell r="A1961" t="str">
            <v>20/F0112</v>
          </cell>
          <cell r="B1961" t="str">
            <v>HANI JUMA SALIM AL KHATRI</v>
          </cell>
        </row>
        <row r="1962">
          <cell r="A1962" t="str">
            <v>20/F0113</v>
          </cell>
          <cell r="B1962" t="str">
            <v>KHAMIS HAMEED SULIAMAN AL BUSAIDE</v>
          </cell>
        </row>
        <row r="1963">
          <cell r="A1963" t="str">
            <v>20/F0114</v>
          </cell>
          <cell r="B1963" t="str">
            <v>KHAMIS HAMEED SULIAMAN AL BUSAIDE</v>
          </cell>
        </row>
        <row r="1964">
          <cell r="A1964" t="str">
            <v>20/F0115</v>
          </cell>
          <cell r="B1964" t="str">
            <v>AZIZA MARHOUN SALIM AL HADHARAMI</v>
          </cell>
        </row>
        <row r="1965">
          <cell r="A1965" t="str">
            <v>20/F0116</v>
          </cell>
          <cell r="B1965" t="str">
            <v>SULTAN RASHID HEDAIB AL JABRI</v>
          </cell>
        </row>
        <row r="1966">
          <cell r="A1966" t="str">
            <v>20/F0117</v>
          </cell>
          <cell r="B1966" t="str">
            <v>SALEH ABDULLAH SALEH</v>
          </cell>
        </row>
        <row r="1967">
          <cell r="A1967" t="str">
            <v>20/F0118</v>
          </cell>
          <cell r="B1967" t="str">
            <v>ADNAN ALI JAWAD</v>
          </cell>
        </row>
        <row r="1968">
          <cell r="A1968" t="str">
            <v>20/F0119</v>
          </cell>
          <cell r="B1968" t="str">
            <v>SANDAN PARTNER</v>
          </cell>
        </row>
        <row r="1969">
          <cell r="A1969" t="str">
            <v>20/F0120</v>
          </cell>
          <cell r="B1969" t="str">
            <v>MAKASIB REAL ESTATE LLC</v>
          </cell>
        </row>
        <row r="1970">
          <cell r="A1970" t="str">
            <v>20/F0121</v>
          </cell>
          <cell r="B1970" t="str">
            <v>HISHAM AMOUR SALIM AL SHABIBI</v>
          </cell>
        </row>
        <row r="1971">
          <cell r="A1971" t="str">
            <v>20/F0122</v>
          </cell>
          <cell r="B1971" t="str">
            <v>TALAL SUALIMAN HAMOOD ABDULLAH AL BURASHDI</v>
          </cell>
        </row>
        <row r="1972">
          <cell r="A1972" t="str">
            <v>20/F0123</v>
          </cell>
          <cell r="B1972" t="str">
            <v>KHALID SALIM KHALFAN AL RAHBI</v>
          </cell>
        </row>
        <row r="1973">
          <cell r="A1973" t="str">
            <v>20/F0124</v>
          </cell>
          <cell r="B1973" t="str">
            <v>SANDAN PARTNER</v>
          </cell>
        </row>
        <row r="1974">
          <cell r="A1974" t="str">
            <v>20/F0125</v>
          </cell>
          <cell r="B1974" t="str">
            <v>HAMED SAID SULTAN SALIM ALFLAHI</v>
          </cell>
        </row>
        <row r="1975">
          <cell r="A1975" t="str">
            <v>20/F0126</v>
          </cell>
          <cell r="B1975" t="str">
            <v>SULTAN HAMED HAMOOD AL TAMIMI</v>
          </cell>
        </row>
        <row r="1976">
          <cell r="A1976" t="str">
            <v>20/F0127</v>
          </cell>
          <cell r="B1976" t="str">
            <v>MAZIN ALI HAMOOD AL AMRI</v>
          </cell>
        </row>
        <row r="1977">
          <cell r="A1977" t="str">
            <v>20/F0128</v>
          </cell>
          <cell r="B1977" t="str">
            <v>MOHAMMED ABDULLAH MOHAMMED AL KINDI</v>
          </cell>
        </row>
        <row r="1978">
          <cell r="A1978" t="str">
            <v>20/F0129</v>
          </cell>
          <cell r="B1978" t="str">
            <v>IBTISAM KHALIFA ABDULLAH AL KINDI</v>
          </cell>
        </row>
        <row r="1979">
          <cell r="A1979" t="str">
            <v>20/F0130</v>
          </cell>
          <cell r="B1979" t="str">
            <v>SALIM HAMOOD MOHAMED AL HARTHI</v>
          </cell>
        </row>
        <row r="1980">
          <cell r="A1980" t="str">
            <v>20/F0131</v>
          </cell>
          <cell r="B1980" t="str">
            <v>HALIMA NASSER RASHID AL MAHRUQI</v>
          </cell>
        </row>
        <row r="1981">
          <cell r="A1981" t="str">
            <v>20/F0132</v>
          </cell>
          <cell r="B1981" t="str">
            <v>HALIMA NASSER RASHID AL MAHRUQI</v>
          </cell>
        </row>
        <row r="1982">
          <cell r="A1982" t="str">
            <v>20/F0133</v>
          </cell>
          <cell r="B1982" t="str">
            <v>FAHAD NASSER ALI AL HARTHY</v>
          </cell>
        </row>
        <row r="1983">
          <cell r="A1983" t="str">
            <v>20/F0134</v>
          </cell>
          <cell r="B1983" t="str">
            <v>MOHAMMED KHALIFA AL KINDI</v>
          </cell>
        </row>
        <row r="1984">
          <cell r="A1984" t="str">
            <v>20/F0135</v>
          </cell>
          <cell r="B1984" t="str">
            <v>MOHAMMED KHALIFA AL KINDI</v>
          </cell>
        </row>
        <row r="1985">
          <cell r="A1985" t="str">
            <v>20/F0136</v>
          </cell>
          <cell r="B1985" t="str">
            <v>Rahma Mohamed Said Al Foori</v>
          </cell>
        </row>
        <row r="1986">
          <cell r="A1986" t="str">
            <v>20/F0137</v>
          </cell>
          <cell r="B1986" t="str">
            <v>ADNAN MOHAMMED AL KALBANI</v>
          </cell>
        </row>
        <row r="1987">
          <cell r="A1987" t="str">
            <v>20/F0138</v>
          </cell>
          <cell r="B1987" t="str">
            <v>HALIMA NASSER RASHID AL MAHRUQI</v>
          </cell>
        </row>
        <row r="1988">
          <cell r="A1988" t="str">
            <v>20/F0139</v>
          </cell>
          <cell r="B1988" t="str">
            <v>AL KIYUMI ELECTRIC AND TRADING CO LLC</v>
          </cell>
        </row>
        <row r="1989">
          <cell r="A1989" t="str">
            <v>20/F0140</v>
          </cell>
          <cell r="B1989" t="str">
            <v>AL KIYUMI ELECTRIC AND TRADING CO LLC</v>
          </cell>
        </row>
        <row r="1990">
          <cell r="A1990" t="str">
            <v>20/F0141</v>
          </cell>
          <cell r="B1990" t="str">
            <v>WAFA SAID KHALFAN AL HARTHY</v>
          </cell>
        </row>
        <row r="1991">
          <cell r="A1991" t="str">
            <v>20/F0142</v>
          </cell>
          <cell r="B1991" t="str">
            <v>AZZA SULAIMAN MASOUD AL KHULAIFEEN</v>
          </cell>
        </row>
        <row r="1992">
          <cell r="A1992" t="str">
            <v>20/F0143</v>
          </cell>
          <cell r="B1992" t="str">
            <v>ABDULLAH SALIM SAIF AL AMRI</v>
          </cell>
        </row>
        <row r="1993">
          <cell r="A1993" t="str">
            <v>20/F0144</v>
          </cell>
          <cell r="B1993" t="str">
            <v>SAIF MOHAMMED ABDULLAH AL SHMALI</v>
          </cell>
        </row>
        <row r="1994">
          <cell r="A1994" t="str">
            <v>20/F0145</v>
          </cell>
          <cell r="B1994" t="str">
            <v>SHAMSA SALIM SAIF AL AAMRI</v>
          </cell>
        </row>
        <row r="1995">
          <cell r="A1995" t="str">
            <v>20/F0146</v>
          </cell>
          <cell r="B1995" t="str">
            <v>JIHAN NASSER HAMID AL GHAILANI</v>
          </cell>
        </row>
        <row r="1996">
          <cell r="A1996" t="str">
            <v>20/F0147</v>
          </cell>
          <cell r="B1996" t="str">
            <v>BASSMAT AL ENJAZAT ALALMIAH LLC</v>
          </cell>
        </row>
        <row r="1997">
          <cell r="A1997" t="str">
            <v>20/F0148</v>
          </cell>
          <cell r="B1997" t="str">
            <v>SULAIMAN ALI SALIM AL ABRI</v>
          </cell>
        </row>
        <row r="1998">
          <cell r="A1998" t="str">
            <v>20/F0149</v>
          </cell>
          <cell r="B1998" t="str">
            <v>NOURA ABDULLAH HAMDAN AL ADAWI</v>
          </cell>
        </row>
        <row r="1999">
          <cell r="A1999" t="str">
            <v>20/F0150</v>
          </cell>
          <cell r="B1999" t="str">
            <v>Salem Saeed Salim Al Mana</v>
          </cell>
        </row>
        <row r="2000">
          <cell r="A2000" t="str">
            <v>20/F0151</v>
          </cell>
          <cell r="B2000" t="str">
            <v>JUMA HAMDOON HAMOOD AL RUMAIMI</v>
          </cell>
        </row>
        <row r="2001">
          <cell r="A2001" t="str">
            <v>20/F0152</v>
          </cell>
          <cell r="B2001" t="str">
            <v>LUBAN DEVELOPMENT &amp; INVESTMENT LLC</v>
          </cell>
        </row>
        <row r="2002">
          <cell r="A2002" t="str">
            <v>20/F0153</v>
          </cell>
          <cell r="B2002" t="str">
            <v>FATIMA AHMED HUSAIN AL FARSI</v>
          </cell>
        </row>
        <row r="2003">
          <cell r="A2003" t="str">
            <v>20/F0154</v>
          </cell>
          <cell r="B2003" t="str">
            <v>Khalaf Mohammed Al Washahi</v>
          </cell>
        </row>
        <row r="2004">
          <cell r="A2004" t="str">
            <v>20/F0155</v>
          </cell>
          <cell r="B2004" t="str">
            <v>MAKASIB REAL ESTATE LLC</v>
          </cell>
        </row>
        <row r="2005">
          <cell r="A2005" t="str">
            <v>20/F0156</v>
          </cell>
          <cell r="B2005" t="str">
            <v>SAMI SAID SALIM AL MAZIDI</v>
          </cell>
        </row>
        <row r="2006">
          <cell r="A2006" t="str">
            <v>20/F0157</v>
          </cell>
          <cell r="B2006" t="str">
            <v>SAMI SAID SALIM AL MAZIDI</v>
          </cell>
        </row>
        <row r="2007">
          <cell r="A2007" t="str">
            <v>20/F0158</v>
          </cell>
          <cell r="B2007" t="str">
            <v>SAIF KHALFAN ABDULLAH AL KINDY</v>
          </cell>
        </row>
        <row r="2008">
          <cell r="A2008" t="str">
            <v>20/F0159</v>
          </cell>
          <cell r="B2008" t="str">
            <v>AISHA YASSER NASSER AL MAMARI</v>
          </cell>
        </row>
        <row r="2009">
          <cell r="A2009" t="str">
            <v>20/F0160</v>
          </cell>
          <cell r="B2009" t="str">
            <v>SAID KHALFAN ALKINDI</v>
          </cell>
        </row>
        <row r="2010">
          <cell r="A2010" t="str">
            <v>20/F0161</v>
          </cell>
          <cell r="B2010" t="str">
            <v>THURAYA KHALFAN ALKINDI</v>
          </cell>
        </row>
        <row r="2011">
          <cell r="A2011" t="str">
            <v>20/F0162</v>
          </cell>
          <cell r="B2011" t="str">
            <v>MAKASIB REAL ESTATE LLC</v>
          </cell>
        </row>
        <row r="2012">
          <cell r="A2012" t="str">
            <v>20/F0163</v>
          </cell>
          <cell r="B2012" t="str">
            <v>SALIM KHALFAN MOHAMMED AL SIBANI</v>
          </cell>
        </row>
        <row r="2013">
          <cell r="A2013" t="str">
            <v>20/F0164</v>
          </cell>
          <cell r="B2013" t="str">
            <v>AISHA RASHID AL MARHOOBI</v>
          </cell>
        </row>
        <row r="2014">
          <cell r="A2014" t="str">
            <v>20/F0165</v>
          </cell>
          <cell r="B2014" t="str">
            <v>AHMED KHAMIS KHALFAN AL ABRI</v>
          </cell>
        </row>
        <row r="2015">
          <cell r="A2015" t="str">
            <v>20/F0166</v>
          </cell>
          <cell r="B2015" t="str">
            <v>AISHA RASHID AL MARHOOBI</v>
          </cell>
        </row>
        <row r="2016">
          <cell r="A2016" t="str">
            <v>20/F0167</v>
          </cell>
          <cell r="B2016" t="str">
            <v>ABDULKAREEM MAHMOOD AL FARSI</v>
          </cell>
        </row>
        <row r="2017">
          <cell r="A2017" t="str">
            <v>20/F0168</v>
          </cell>
          <cell r="B2017" t="str">
            <v>HAMDAN SAIF SALIM AL HABSI</v>
          </cell>
        </row>
        <row r="2018">
          <cell r="A2018" t="str">
            <v>20/F0169</v>
          </cell>
          <cell r="B2018" t="str">
            <v>THURAIYA KHALFAN ALI AL SIYABI</v>
          </cell>
        </row>
        <row r="2019">
          <cell r="A2019" t="str">
            <v>20/F0170</v>
          </cell>
          <cell r="B2019" t="str">
            <v>MADAR HILL COMPANY</v>
          </cell>
        </row>
        <row r="2020">
          <cell r="A2020" t="str">
            <v>20/F0171</v>
          </cell>
          <cell r="B2020" t="str">
            <v>MADAR HILL COMPANY</v>
          </cell>
        </row>
        <row r="2021">
          <cell r="A2021" t="str">
            <v>20/F0172</v>
          </cell>
          <cell r="B2021" t="str">
            <v>ZAHIR SAID ABDULLAH AL RASHDI</v>
          </cell>
        </row>
        <row r="2022">
          <cell r="A2022" t="str">
            <v>20/F0173</v>
          </cell>
          <cell r="B2022" t="str">
            <v>ZAHIR SAID ABDULLAH AL RASHDI</v>
          </cell>
        </row>
        <row r="2023">
          <cell r="A2023" t="str">
            <v>20/F0174</v>
          </cell>
          <cell r="B2023" t="str">
            <v>KHALID YAQOOB SALIM AL RAHBI</v>
          </cell>
        </row>
        <row r="2024">
          <cell r="A2024" t="str">
            <v>20/F0175</v>
          </cell>
          <cell r="B2024" t="str">
            <v>SAUD ALI SAAIYED AL RAHBI</v>
          </cell>
        </row>
        <row r="2025">
          <cell r="A2025" t="str">
            <v>20/F0176</v>
          </cell>
          <cell r="B2025" t="str">
            <v>Rahma Said Al Shukiri</v>
          </cell>
        </row>
        <row r="2026">
          <cell r="A2026" t="str">
            <v>20/F0177</v>
          </cell>
          <cell r="B2026" t="str">
            <v>Nasser Khamis Al Harthi</v>
          </cell>
        </row>
        <row r="2027">
          <cell r="A2027" t="str">
            <v>20/F0178</v>
          </cell>
          <cell r="B2027" t="str">
            <v>ESTABRAQ SULTAN SAID AL MASKARI</v>
          </cell>
        </row>
        <row r="2028">
          <cell r="A2028" t="str">
            <v>20/F0179</v>
          </cell>
          <cell r="B2028" t="str">
            <v>Mariam Hafidh Abdullah Al Hinai</v>
          </cell>
        </row>
        <row r="2029">
          <cell r="A2029" t="str">
            <v>20/F0180</v>
          </cell>
          <cell r="B2029" t="str">
            <v>Safiyah Saleh Issa Al Toubi</v>
          </cell>
        </row>
        <row r="2030">
          <cell r="A2030" t="str">
            <v>20/F0181</v>
          </cell>
          <cell r="B2030" t="str">
            <v>Raaid Rashid Amer Al Harthi</v>
          </cell>
        </row>
        <row r="2031">
          <cell r="A2031" t="str">
            <v>20/F0182</v>
          </cell>
          <cell r="B2031" t="str">
            <v>MAKASIB REAL ESTATE LLC</v>
          </cell>
        </row>
        <row r="2032">
          <cell r="A2032" t="str">
            <v>20/F0183</v>
          </cell>
          <cell r="B2032" t="str">
            <v>SHAIKAH KHALAF ABDULLAH AL NABI</v>
          </cell>
        </row>
        <row r="2033">
          <cell r="A2033" t="str">
            <v>20/F0184</v>
          </cell>
          <cell r="B2033" t="str">
            <v>MAKASIB REAL ESTATE LLC</v>
          </cell>
        </row>
        <row r="2034">
          <cell r="A2034" t="str">
            <v>20/F0185</v>
          </cell>
          <cell r="B2034" t="str">
            <v>MAKASIB REAL ESTATE LLC</v>
          </cell>
        </row>
        <row r="2035">
          <cell r="A2035" t="str">
            <v>20/F0186</v>
          </cell>
          <cell r="B2035" t="str">
            <v>MAKASIB REAL ESTATE LLC</v>
          </cell>
        </row>
        <row r="2036">
          <cell r="A2036" t="str">
            <v>20/F0187</v>
          </cell>
          <cell r="B2036" t="str">
            <v>MAHMOOD MOHAMMED ZAHRAN ALRAWAHI</v>
          </cell>
        </row>
        <row r="2037">
          <cell r="A2037" t="str">
            <v>20/F0188</v>
          </cell>
          <cell r="B2037" t="str">
            <v>MAKASIB REAL ESTATE LLC</v>
          </cell>
        </row>
        <row r="2038">
          <cell r="A2038" t="str">
            <v>20/F0189</v>
          </cell>
          <cell r="B2038" t="str">
            <v>MAKASIB REAL ESTATE LLC</v>
          </cell>
        </row>
        <row r="2039">
          <cell r="A2039" t="str">
            <v>20/F0190</v>
          </cell>
          <cell r="B2039" t="str">
            <v>MAKASIB REAL ESTATE LLC</v>
          </cell>
        </row>
        <row r="2040">
          <cell r="A2040" t="str">
            <v>20/F0191</v>
          </cell>
          <cell r="B2040" t="str">
            <v>Talal Hamood Al Amri</v>
          </cell>
        </row>
        <row r="2041">
          <cell r="A2041" t="str">
            <v>20/F0192</v>
          </cell>
          <cell r="B2041" t="str">
            <v>Talal Hamood Al Amri</v>
          </cell>
        </row>
        <row r="2042">
          <cell r="A2042" t="str">
            <v>20/F0193</v>
          </cell>
          <cell r="B2042" t="str">
            <v>MAKASIB REAL ESTATE LLC</v>
          </cell>
        </row>
        <row r="2043">
          <cell r="A2043" t="str">
            <v>20/F0194</v>
          </cell>
          <cell r="B2043" t="str">
            <v>MAKASIB REAL ESTATE LLC</v>
          </cell>
        </row>
        <row r="2044">
          <cell r="A2044" t="str">
            <v>20/F0195</v>
          </cell>
          <cell r="B2044" t="str">
            <v>SALEH NASSER KAHLAN AL BATTASHI</v>
          </cell>
        </row>
        <row r="2045">
          <cell r="A2045" t="str">
            <v>20/F0196</v>
          </cell>
          <cell r="B2045" t="str">
            <v>MAKASIB REAL ESTATE LLC</v>
          </cell>
        </row>
        <row r="2046">
          <cell r="A2046" t="str">
            <v>20/F0197</v>
          </cell>
          <cell r="B2046" t="str">
            <v>MAKASIB REAL ESTATE LLC</v>
          </cell>
        </row>
        <row r="2047">
          <cell r="A2047" t="str">
            <v>20/F0198</v>
          </cell>
          <cell r="B2047" t="str">
            <v>MAKASIB REAL ESTATE LLC</v>
          </cell>
        </row>
        <row r="2048">
          <cell r="A2048" t="str">
            <v>20/F0199</v>
          </cell>
          <cell r="B2048" t="str">
            <v>MAKASIB REAL ESTATE LLC</v>
          </cell>
        </row>
        <row r="2049">
          <cell r="A2049" t="str">
            <v>20/F1100</v>
          </cell>
          <cell r="B2049" t="str">
            <v>AHMED HUMAID RASHID AL BADI</v>
          </cell>
        </row>
        <row r="2050">
          <cell r="A2050" t="str">
            <v>20/F1101</v>
          </cell>
          <cell r="B2050" t="str">
            <v>ALI SAUD MOHAMMED AL RIYAMI</v>
          </cell>
        </row>
        <row r="2051">
          <cell r="A2051" t="str">
            <v>20/F1102</v>
          </cell>
          <cell r="B2051" t="str">
            <v>MAHMOOD MOHAMED MURAD AL RAISI</v>
          </cell>
        </row>
        <row r="2052">
          <cell r="A2052" t="str">
            <v>20/G0001</v>
          </cell>
          <cell r="B2052" t="str">
            <v>KHARIA MUHAMMED AL GHSANIAH</v>
          </cell>
        </row>
        <row r="2053">
          <cell r="A2053" t="str">
            <v>20/G0002</v>
          </cell>
          <cell r="B2053" t="str">
            <v>KHARIA MUHAMMED AL GHSANIAH</v>
          </cell>
        </row>
        <row r="2054">
          <cell r="A2054" t="str">
            <v>20/G0003</v>
          </cell>
          <cell r="B2054" t="str">
            <v>YASSER ABDUL HUSSAIN GUL MOHAMED AL FADHIL</v>
          </cell>
        </row>
        <row r="2055">
          <cell r="A2055" t="str">
            <v>20/G0004</v>
          </cell>
          <cell r="B2055" t="str">
            <v>YASSER ABDUL HUSSAIN GUL MOHAMED AL FADHIL</v>
          </cell>
        </row>
        <row r="2056">
          <cell r="A2056" t="str">
            <v>20/G0005</v>
          </cell>
          <cell r="B2056" t="str">
            <v>SALAH KH M AL JEMAZ</v>
          </cell>
        </row>
        <row r="2057">
          <cell r="A2057" t="str">
            <v>20/G0006</v>
          </cell>
          <cell r="B2057" t="str">
            <v>HAMED KHALIFA SAID AL SOOLI</v>
          </cell>
        </row>
        <row r="2058">
          <cell r="A2058" t="str">
            <v>20/G0007</v>
          </cell>
          <cell r="B2058" t="str">
            <v>SAID HAMED SAID AL RUBAII</v>
          </cell>
        </row>
        <row r="2059">
          <cell r="A2059" t="str">
            <v>20/G0008</v>
          </cell>
          <cell r="B2059" t="str">
            <v>AMAN REIT</v>
          </cell>
        </row>
        <row r="2060">
          <cell r="A2060" t="str">
            <v>20/G0009</v>
          </cell>
          <cell r="B2060" t="str">
            <v>AMAN REIT</v>
          </cell>
        </row>
        <row r="2061">
          <cell r="A2061" t="str">
            <v>20/G0010</v>
          </cell>
          <cell r="B2061" t="str">
            <v>MOHAMMED MUSALLEM SALEM AL AMERI</v>
          </cell>
        </row>
        <row r="2062">
          <cell r="A2062" t="str">
            <v>20/G0011</v>
          </cell>
          <cell r="B2062" t="str">
            <v>AHLAM ABDULLAH MOHAMMED AL SARMI</v>
          </cell>
        </row>
        <row r="2063">
          <cell r="A2063" t="str">
            <v>20/G0012</v>
          </cell>
          <cell r="B2063" t="str">
            <v>HASSSA SAQAR SULAIMAN AL SIYABI</v>
          </cell>
        </row>
        <row r="2064">
          <cell r="A2064" t="str">
            <v>20/G0013</v>
          </cell>
          <cell r="B2064" t="str">
            <v>AMAN REIT</v>
          </cell>
        </row>
        <row r="2065">
          <cell r="A2065" t="str">
            <v>20/G0014</v>
          </cell>
          <cell r="B2065" t="str">
            <v>AMAN REIT</v>
          </cell>
        </row>
        <row r="2066">
          <cell r="A2066" t="str">
            <v>20/G0015</v>
          </cell>
          <cell r="B2066" t="str">
            <v>AMAN REIT</v>
          </cell>
        </row>
        <row r="2067">
          <cell r="A2067" t="str">
            <v>20/G0016</v>
          </cell>
          <cell r="B2067" t="str">
            <v>ABDULLAH SAIF MUSALLAM AL SHUKAIRI</v>
          </cell>
        </row>
        <row r="2068">
          <cell r="A2068" t="str">
            <v>20/G0017</v>
          </cell>
          <cell r="B2068" t="str">
            <v>HALAH SALIM KHALFAN AL HADHRAMI</v>
          </cell>
        </row>
        <row r="2069">
          <cell r="A2069" t="str">
            <v>20/G0018</v>
          </cell>
          <cell r="B2069" t="str">
            <v>AMAN REIT</v>
          </cell>
        </row>
        <row r="2070">
          <cell r="A2070" t="str">
            <v>20/G0019</v>
          </cell>
          <cell r="B2070" t="str">
            <v>HEBAH MOHAMMAD NAHAR AL ADWANI</v>
          </cell>
        </row>
        <row r="2071">
          <cell r="A2071" t="str">
            <v>20/G0020</v>
          </cell>
          <cell r="B2071" t="str">
            <v>HAMOOD AHMED HAMOOD AL MAAMIRY</v>
          </cell>
        </row>
        <row r="2072">
          <cell r="A2072" t="str">
            <v>20/G0021</v>
          </cell>
          <cell r="B2072" t="str">
            <v>ABDULLA A A AL SAQER</v>
          </cell>
        </row>
        <row r="2073">
          <cell r="A2073" t="str">
            <v>20/G0022</v>
          </cell>
          <cell r="B2073" t="str">
            <v>SAID MOHAMED ASLAM AL BALUSHI</v>
          </cell>
        </row>
        <row r="2074">
          <cell r="A2074" t="str">
            <v>20/G0023</v>
          </cell>
          <cell r="B2074" t="str">
            <v>AMAN REIT</v>
          </cell>
        </row>
        <row r="2075">
          <cell r="A2075" t="str">
            <v>20/G0024</v>
          </cell>
          <cell r="B2075" t="str">
            <v>AMAN REIT</v>
          </cell>
        </row>
        <row r="2076">
          <cell r="A2076" t="str">
            <v>20/G0025</v>
          </cell>
          <cell r="B2076" t="str">
            <v>AMAN REIT</v>
          </cell>
        </row>
        <row r="2077">
          <cell r="A2077" t="str">
            <v>20/G0026</v>
          </cell>
          <cell r="B2077" t="str">
            <v>AMAN REIT</v>
          </cell>
        </row>
        <row r="2078">
          <cell r="A2078" t="str">
            <v>20/G0027</v>
          </cell>
          <cell r="B2078" t="str">
            <v>HILAL MOHAMED HUMAID ALWAILI</v>
          </cell>
        </row>
        <row r="2079">
          <cell r="A2079" t="str">
            <v>20/G0028</v>
          </cell>
          <cell r="B2079" t="str">
            <v>SAID ABDULLAH MOHAMMED AL SHAMMAKHI</v>
          </cell>
        </row>
        <row r="2080">
          <cell r="A2080" t="str">
            <v>20/G0029</v>
          </cell>
          <cell r="B2080" t="str">
            <v>MAHMOOD MOHAMMED ZAHRAN ALRAWAHI</v>
          </cell>
        </row>
        <row r="2081">
          <cell r="A2081" t="str">
            <v>20/G0030</v>
          </cell>
          <cell r="B2081" t="str">
            <v>AMAN REIT</v>
          </cell>
        </row>
        <row r="2082">
          <cell r="A2082" t="str">
            <v>20/G0031</v>
          </cell>
          <cell r="B2082" t="str">
            <v>AMAN REIT</v>
          </cell>
        </row>
        <row r="2083">
          <cell r="A2083" t="str">
            <v>20/G0032</v>
          </cell>
          <cell r="B2083" t="str">
            <v>AMAN REIT</v>
          </cell>
        </row>
        <row r="2084">
          <cell r="A2084" t="str">
            <v>20/G0033</v>
          </cell>
          <cell r="B2084" t="str">
            <v>HUMAID SALIM ALI MAHRUQI</v>
          </cell>
        </row>
        <row r="2085">
          <cell r="A2085" t="str">
            <v>20/G0034</v>
          </cell>
          <cell r="B2085" t="str">
            <v>HUMAID SALIM ALI MAHRUQI</v>
          </cell>
        </row>
        <row r="2086">
          <cell r="A2086" t="str">
            <v>20/G0035</v>
          </cell>
          <cell r="B2086" t="str">
            <v>AMAN REIT</v>
          </cell>
        </row>
        <row r="2087">
          <cell r="A2087" t="str">
            <v>20/G0036</v>
          </cell>
          <cell r="B2087" t="str">
            <v>SALIM AHMED ALI AL ZBAIDI</v>
          </cell>
        </row>
        <row r="2088">
          <cell r="A2088" t="str">
            <v>20/G0037</v>
          </cell>
          <cell r="B2088" t="str">
            <v>RAHMA MOHAMED SAID AL FOORI</v>
          </cell>
        </row>
        <row r="2089">
          <cell r="A2089" t="str">
            <v>20/G0038</v>
          </cell>
          <cell r="B2089" t="str">
            <v>ARWA MISSAD M A AL OLAQI</v>
          </cell>
        </row>
        <row r="2090">
          <cell r="A2090" t="str">
            <v>20/G0039</v>
          </cell>
          <cell r="B2090" t="str">
            <v>ISSHAQ YAQOOB NASSER AL NUUMANI</v>
          </cell>
        </row>
        <row r="2091">
          <cell r="A2091" t="str">
            <v>20/G0040</v>
          </cell>
          <cell r="B2091" t="str">
            <v>AL KIYUMI ELECTRIC AND TRADING CO LLC</v>
          </cell>
        </row>
        <row r="2092">
          <cell r="A2092" t="str">
            <v>20/G0041</v>
          </cell>
          <cell r="B2092" t="str">
            <v>AL KIYUMI ELECTRIC AND TRADING CO LLC</v>
          </cell>
        </row>
        <row r="2093">
          <cell r="A2093" t="str">
            <v>20/G0042</v>
          </cell>
          <cell r="B2093" t="str">
            <v>AMAN REIT</v>
          </cell>
        </row>
        <row r="2094">
          <cell r="A2094" t="str">
            <v>20/G0043</v>
          </cell>
          <cell r="B2094" t="str">
            <v>WAIL SAIF SALIM AL HARRASI</v>
          </cell>
        </row>
        <row r="2095">
          <cell r="A2095" t="str">
            <v>20/G0044</v>
          </cell>
          <cell r="B2095" t="str">
            <v>WAIL SAIF SALIM AL HARRASI</v>
          </cell>
        </row>
        <row r="2096">
          <cell r="A2096" t="str">
            <v>20/G0045</v>
          </cell>
          <cell r="B2096" t="str">
            <v>HAMED MOHAMMED SAID AL MAHROQI</v>
          </cell>
        </row>
        <row r="2097">
          <cell r="A2097" t="str">
            <v>20/G0046</v>
          </cell>
          <cell r="B2097" t="str">
            <v>HAMED MOHAMMED SAID AL MAHROQI</v>
          </cell>
        </row>
        <row r="2098">
          <cell r="A2098" t="str">
            <v>20/G0047</v>
          </cell>
          <cell r="B2098" t="str">
            <v>ABDUL RAHMAN ABDULLAH HAMED HUDHAILI</v>
          </cell>
        </row>
        <row r="2099">
          <cell r="A2099" t="str">
            <v>20/G0048</v>
          </cell>
          <cell r="B2099" t="str">
            <v>AMER SHWAIN AMER AL HOSNI</v>
          </cell>
        </row>
        <row r="2100">
          <cell r="A2100" t="str">
            <v>20/G0049</v>
          </cell>
          <cell r="B2100" t="str">
            <v>MOHAMMAD HUMOUD AL HATTAB</v>
          </cell>
        </row>
        <row r="2101">
          <cell r="A2101" t="str">
            <v>20/G0050</v>
          </cell>
          <cell r="B2101" t="str">
            <v>WASMEYAH KHALIFAH ALKHALIFAH</v>
          </cell>
        </row>
        <row r="2102">
          <cell r="A2102" t="str">
            <v>20/G0051</v>
          </cell>
          <cell r="B2102" t="str">
            <v>NAWAL SAID SALIM AL ARAFATI</v>
          </cell>
        </row>
        <row r="2103">
          <cell r="A2103" t="str">
            <v>20/G0052</v>
          </cell>
          <cell r="B2103" t="str">
            <v>HAWRAA ABDALLAH MOHAMMED ABDULWAHAB</v>
          </cell>
        </row>
        <row r="2104">
          <cell r="A2104" t="str">
            <v>20/G0053</v>
          </cell>
          <cell r="B2104" t="str">
            <v>ISSA SALEH ALI AL JAHDAMI</v>
          </cell>
        </row>
        <row r="2105">
          <cell r="A2105" t="str">
            <v>20/G0054</v>
          </cell>
          <cell r="B2105" t="str">
            <v>ISSA SALEH ALI AL JAHDAMI</v>
          </cell>
        </row>
        <row r="2106">
          <cell r="A2106" t="str">
            <v>20/G0055</v>
          </cell>
          <cell r="B2106" t="str">
            <v>HAFIDHA MOHAMED AL GHASSANI</v>
          </cell>
        </row>
        <row r="2107">
          <cell r="A2107" t="str">
            <v>20/G0056</v>
          </cell>
          <cell r="B2107" t="str">
            <v>AHMED ALI NASSER AL JAHDHAMI</v>
          </cell>
        </row>
        <row r="2108">
          <cell r="A2108" t="str">
            <v>20/G0057</v>
          </cell>
          <cell r="B2108" t="str">
            <v>MOHAMED SALIM SALEH AL HARTHY</v>
          </cell>
        </row>
        <row r="2109">
          <cell r="A2109" t="str">
            <v>20/G0058</v>
          </cell>
          <cell r="B2109" t="str">
            <v>MOHAMED SALIM SALEH AL HARTHY</v>
          </cell>
        </row>
        <row r="2110">
          <cell r="A2110" t="str">
            <v>20/G0059</v>
          </cell>
          <cell r="B2110" t="str">
            <v>THIRAIYA ALI OMAIR AL HABSI</v>
          </cell>
        </row>
        <row r="2111">
          <cell r="A2111" t="str">
            <v>20/G0060</v>
          </cell>
          <cell r="B2111" t="str">
            <v>Nakhal Ahlia Investment Company SOAC</v>
          </cell>
        </row>
        <row r="2112">
          <cell r="A2112" t="str">
            <v>20/G0061</v>
          </cell>
          <cell r="B2112" t="str">
            <v>SAIF KHALFAN ABDULLAH AL KINDY</v>
          </cell>
        </row>
        <row r="2113">
          <cell r="A2113" t="str">
            <v>20/G0062</v>
          </cell>
          <cell r="B2113" t="str">
            <v>AMAN REIT</v>
          </cell>
        </row>
        <row r="2114">
          <cell r="A2114" t="str">
            <v>20/G0063</v>
          </cell>
          <cell r="B2114" t="str">
            <v>MUHALLAB ALI AL HABSI</v>
          </cell>
        </row>
        <row r="2115">
          <cell r="A2115" t="str">
            <v>20/G0064</v>
          </cell>
          <cell r="B2115" t="str">
            <v>SALIM SAID SALIM AL RIYAMI</v>
          </cell>
        </row>
        <row r="2116">
          <cell r="A2116" t="str">
            <v>20/G0065</v>
          </cell>
          <cell r="B2116" t="str">
            <v>YAQOOB SAID AL AMRI</v>
          </cell>
        </row>
        <row r="2117">
          <cell r="A2117" t="str">
            <v>20/G0066</v>
          </cell>
          <cell r="B2117" t="str">
            <v>SALIM KHALFAN MOHAMMED AL SIBANI</v>
          </cell>
        </row>
        <row r="2118">
          <cell r="A2118" t="str">
            <v>20/G0067</v>
          </cell>
          <cell r="B2118" t="str">
            <v>SALIM KHALFAN MOHAMMED AL SIBANI</v>
          </cell>
        </row>
        <row r="2119">
          <cell r="A2119" t="str">
            <v>20/G0068</v>
          </cell>
          <cell r="B2119" t="str">
            <v>HAMED ALI SALIM AL MAHRUQI</v>
          </cell>
        </row>
        <row r="2120">
          <cell r="A2120" t="str">
            <v>20/G0069</v>
          </cell>
          <cell r="B2120" t="str">
            <v>KHALED ALI HUSSAIN AL SANEA</v>
          </cell>
        </row>
        <row r="2121">
          <cell r="A2121" t="str">
            <v>20/G0070</v>
          </cell>
          <cell r="B2121" t="str">
            <v>RASHID KHALFAN SALIM KHALFAN AL ABRI</v>
          </cell>
        </row>
        <row r="2122">
          <cell r="A2122" t="str">
            <v>20/G0071</v>
          </cell>
          <cell r="B2122" t="str">
            <v>KHAMIS HAMEED SULIAMAN AL BUSAIDE</v>
          </cell>
        </row>
        <row r="2123">
          <cell r="A2123" t="str">
            <v>20/G0072</v>
          </cell>
          <cell r="B2123" t="str">
            <v>AMAN REIT</v>
          </cell>
        </row>
        <row r="2124">
          <cell r="A2124" t="str">
            <v>20/G0073</v>
          </cell>
          <cell r="B2124" t="str">
            <v>MADAR HILL COMPANY</v>
          </cell>
        </row>
        <row r="2125">
          <cell r="A2125" t="str">
            <v>20/G0074</v>
          </cell>
          <cell r="B2125" t="str">
            <v>MADAR HILL COMPANY</v>
          </cell>
        </row>
        <row r="2126">
          <cell r="A2126" t="str">
            <v>20/G0075</v>
          </cell>
          <cell r="B2126" t="str">
            <v>ZAHIR SAID ABDULLAH AL RASHDI</v>
          </cell>
        </row>
        <row r="2127">
          <cell r="A2127" t="str">
            <v>20/G0076</v>
          </cell>
          <cell r="B2127" t="str">
            <v>ZAHIR SAID ABDULLAH AL RASHDI</v>
          </cell>
        </row>
        <row r="2128">
          <cell r="A2128" t="str">
            <v>20/G0077</v>
          </cell>
          <cell r="B2128" t="str">
            <v>TMTEC TRAD and TECHNICAL SERVICES LLC</v>
          </cell>
        </row>
        <row r="2129">
          <cell r="A2129" t="str">
            <v>20/G0078</v>
          </cell>
          <cell r="B2129" t="str">
            <v>TMTEC TRAD and TECHNICAL SERVICES LLC</v>
          </cell>
        </row>
        <row r="2130">
          <cell r="A2130" t="str">
            <v>20/G0079</v>
          </cell>
          <cell r="B2130" t="str">
            <v>ABDULLA SULAMIAN MOHAMED ALKALBANI</v>
          </cell>
        </row>
        <row r="2131">
          <cell r="A2131" t="str">
            <v>20/G0080</v>
          </cell>
          <cell r="B2131" t="str">
            <v>ABDULLA SULAMIAN MOHAMED ALKALBANI</v>
          </cell>
        </row>
        <row r="2132">
          <cell r="A2132" t="str">
            <v>20/G0081</v>
          </cell>
          <cell r="B2132" t="str">
            <v>Nakhal Ahlia Investment Company SOAC</v>
          </cell>
        </row>
        <row r="2133">
          <cell r="A2133" t="str">
            <v>20/G0082</v>
          </cell>
          <cell r="B2133" t="str">
            <v>SAID AMUR ALI AL HABSI</v>
          </cell>
        </row>
        <row r="2134">
          <cell r="A2134" t="str">
            <v>20/G0083</v>
          </cell>
          <cell r="B2134" t="str">
            <v>SAIF HAMOOD HILAL AL TOBI</v>
          </cell>
        </row>
        <row r="2135">
          <cell r="A2135" t="str">
            <v>20/G0084</v>
          </cell>
          <cell r="B2135" t="str">
            <v>MOHAMED NASSER MOHAMED AL HARRASI</v>
          </cell>
        </row>
        <row r="2136">
          <cell r="A2136" t="str">
            <v>20/G0085</v>
          </cell>
          <cell r="B2136" t="str">
            <v>FAHMI BADRAN HILAL AL BARWANI</v>
          </cell>
        </row>
        <row r="2137">
          <cell r="A2137" t="str">
            <v>20/G0086</v>
          </cell>
          <cell r="B2137" t="str">
            <v>AMAN REIT</v>
          </cell>
        </row>
        <row r="2138">
          <cell r="A2138" t="str">
            <v>20/G0087</v>
          </cell>
          <cell r="B2138" t="str">
            <v>AMAN REIT</v>
          </cell>
        </row>
        <row r="2139">
          <cell r="A2139" t="str">
            <v>20/G0088</v>
          </cell>
          <cell r="B2139" t="str">
            <v>MOHAMMED SALIM YOUSUF AL YAHMDI</v>
          </cell>
        </row>
        <row r="2140">
          <cell r="A2140" t="str">
            <v>20/G0089</v>
          </cell>
          <cell r="B2140" t="str">
            <v>AMAN REIT</v>
          </cell>
        </row>
        <row r="2141">
          <cell r="A2141" t="str">
            <v>20/G0090</v>
          </cell>
          <cell r="B2141" t="str">
            <v>AMAN REIT</v>
          </cell>
        </row>
        <row r="2142">
          <cell r="A2142" t="str">
            <v>20/G0091</v>
          </cell>
          <cell r="B2142" t="str">
            <v>AMAN REIT</v>
          </cell>
        </row>
        <row r="2143">
          <cell r="A2143" t="str">
            <v>20/G0092</v>
          </cell>
          <cell r="B2143" t="str">
            <v>AMAN REIT</v>
          </cell>
        </row>
        <row r="2144">
          <cell r="A2144" t="str">
            <v>20/G0093</v>
          </cell>
          <cell r="B2144" t="str">
            <v>AMAN REIT</v>
          </cell>
        </row>
        <row r="2145">
          <cell r="A2145" t="str">
            <v>20/G0094</v>
          </cell>
          <cell r="B2145" t="str">
            <v>FAHAD KHAMIS ABDULLAH AL BULUSHI</v>
          </cell>
        </row>
        <row r="2146">
          <cell r="A2146" t="str">
            <v>20/G0095</v>
          </cell>
          <cell r="B2146" t="str">
            <v>Nakhal Ahlia Investment Company SOAC</v>
          </cell>
        </row>
        <row r="2147">
          <cell r="A2147" t="str">
            <v>20/G0096</v>
          </cell>
          <cell r="B2147" t="str">
            <v>MOHAMED SALIM SAID AL WAHAIBI</v>
          </cell>
        </row>
        <row r="2148">
          <cell r="A2148" t="str">
            <v>20/G0097</v>
          </cell>
          <cell r="B2148" t="str">
            <v>WALEED SAID AL SALMI</v>
          </cell>
        </row>
        <row r="2149">
          <cell r="A2149" t="str">
            <v>20/G0098</v>
          </cell>
          <cell r="B2149" t="str">
            <v>SAID SALIM ABDULLAH AL AUFI</v>
          </cell>
        </row>
        <row r="2150">
          <cell r="A2150" t="str">
            <v>20/G0099</v>
          </cell>
          <cell r="B2150" t="str">
            <v>AMAN REIT</v>
          </cell>
        </row>
        <row r="2151">
          <cell r="A2151" t="str">
            <v>20/G0100</v>
          </cell>
          <cell r="B2151" t="str">
            <v>SAND SAED JAMIL AL JABRI</v>
          </cell>
        </row>
        <row r="2152">
          <cell r="A2152" t="str">
            <v>20/G0101</v>
          </cell>
          <cell r="B2152" t="str">
            <v>AMAN REIT</v>
          </cell>
        </row>
        <row r="2153">
          <cell r="A2153" t="str">
            <v>20/G0102</v>
          </cell>
          <cell r="B2153" t="str">
            <v>SULTAN HAMED MOHAMMED AL BAHRI</v>
          </cell>
        </row>
        <row r="2154">
          <cell r="A2154" t="str">
            <v>20/G0103</v>
          </cell>
          <cell r="B2154" t="str">
            <v>SAIF RASHID AL KHAYARI</v>
          </cell>
        </row>
        <row r="2155">
          <cell r="A2155" t="str">
            <v>20/G0104</v>
          </cell>
          <cell r="B2155" t="str">
            <v>HILAL NASSER AL OMAIRI</v>
          </cell>
        </row>
        <row r="2156">
          <cell r="A2156" t="str">
            <v>20/G0105</v>
          </cell>
          <cell r="B2156" t="str">
            <v>MULOOK MOHAMED ISMAIL AL ZADJALI</v>
          </cell>
        </row>
        <row r="2157">
          <cell r="A2157" t="str">
            <v>20/G0106</v>
          </cell>
          <cell r="B2157" t="str">
            <v>MALALLAH JUMA SHAMBEH AL ZADJALI</v>
          </cell>
        </row>
        <row r="2158">
          <cell r="A2158" t="str">
            <v>20/G0107</v>
          </cell>
          <cell r="B2158" t="str">
            <v>AMAN REIT</v>
          </cell>
        </row>
        <row r="2159">
          <cell r="A2159" t="str">
            <v>20/G0108</v>
          </cell>
          <cell r="B2159" t="str">
            <v>AMAN REIT</v>
          </cell>
        </row>
        <row r="2160">
          <cell r="A2160" t="str">
            <v>20/G0109</v>
          </cell>
          <cell r="B2160" t="str">
            <v>AMAN REIT</v>
          </cell>
        </row>
        <row r="2161">
          <cell r="A2161" t="str">
            <v>20/G0110</v>
          </cell>
          <cell r="B2161" t="str">
            <v>AMAN REIT</v>
          </cell>
        </row>
        <row r="2162">
          <cell r="A2162" t="str">
            <v>20/G0111</v>
          </cell>
          <cell r="B2162" t="str">
            <v>AMAN REIT</v>
          </cell>
        </row>
        <row r="2163">
          <cell r="A2163" t="str">
            <v>20/G0112</v>
          </cell>
          <cell r="B2163" t="str">
            <v>AMAN REIT</v>
          </cell>
        </row>
        <row r="2164">
          <cell r="A2164" t="str">
            <v>20/G0113</v>
          </cell>
          <cell r="B2164" t="str">
            <v>AMAN REIT</v>
          </cell>
        </row>
        <row r="2165">
          <cell r="A2165" t="str">
            <v>27/F0101</v>
          </cell>
          <cell r="B2165" t="str">
            <v>NASSER SALIM AL DUHANI</v>
          </cell>
        </row>
        <row r="2166">
          <cell r="A2166" t="str">
            <v>27/F0102</v>
          </cell>
          <cell r="B2166" t="str">
            <v>AHMED AFLAH SALIM AL HADHRAMI</v>
          </cell>
        </row>
        <row r="2167">
          <cell r="A2167" t="str">
            <v>27/F0103</v>
          </cell>
          <cell r="B2167" t="str">
            <v>LUBAN DEVELOPMENT &amp; INVESTMENT LLC</v>
          </cell>
        </row>
        <row r="2168">
          <cell r="A2168" t="str">
            <v>27/F0104</v>
          </cell>
          <cell r="B2168" t="str">
            <v>KHALID HUMAID KHAMIS AL ABRI</v>
          </cell>
        </row>
        <row r="2169">
          <cell r="A2169" t="str">
            <v>27/F0105</v>
          </cell>
          <cell r="B2169" t="str">
            <v>AHMED ABDULLAH AHMED AL HOOQANI</v>
          </cell>
        </row>
        <row r="2170">
          <cell r="A2170" t="str">
            <v>27/F0106</v>
          </cell>
          <cell r="B2170" t="str">
            <v>AHMED ABDULLAH AHMED AL HOOQANI</v>
          </cell>
        </row>
        <row r="2171">
          <cell r="A2171" t="str">
            <v>27/F0107</v>
          </cell>
          <cell r="B2171" t="str">
            <v>AHMED ABDULLAH AHMED AL HOOQANI</v>
          </cell>
        </row>
        <row r="2172">
          <cell r="A2172" t="str">
            <v>27/F0108</v>
          </cell>
          <cell r="B2172" t="str">
            <v>AHMED ABDULLAH AHMED AL HOOQANI</v>
          </cell>
        </row>
        <row r="2173">
          <cell r="A2173" t="str">
            <v>27/F0109</v>
          </cell>
          <cell r="B2173" t="str">
            <v>AHMED ABDULLAH AHMED AL HOOQANI</v>
          </cell>
        </row>
        <row r="2174">
          <cell r="A2174" t="str">
            <v>27/F0110</v>
          </cell>
          <cell r="B2174" t="str">
            <v>AHMED ABDULLAH AHMED AL HOOQANI</v>
          </cell>
        </row>
        <row r="2175">
          <cell r="A2175" t="str">
            <v>27/F0111</v>
          </cell>
          <cell r="B2175" t="str">
            <v>AHMED ABDULLAH AHMED AL HOOQANI</v>
          </cell>
        </row>
        <row r="2176">
          <cell r="A2176" t="str">
            <v>27/F0112</v>
          </cell>
          <cell r="B2176" t="str">
            <v>MAJID SAID SAIF AL HARTHI</v>
          </cell>
        </row>
        <row r="2177">
          <cell r="A2177" t="str">
            <v>27/F0113</v>
          </cell>
          <cell r="B2177" t="str">
            <v>HILMI HAMED SALEH AL MARHOOBI</v>
          </cell>
        </row>
        <row r="2178">
          <cell r="A2178" t="str">
            <v>27/F0114</v>
          </cell>
          <cell r="B2178" t="str">
            <v>THURAIYA SHAMIS MOHAMED AL SIYABI</v>
          </cell>
        </row>
        <row r="2179">
          <cell r="A2179" t="str">
            <v>27/F0115</v>
          </cell>
          <cell r="B2179" t="str">
            <v>KHALID NASSER MOHAMED AL GHAMMARI</v>
          </cell>
        </row>
        <row r="2180">
          <cell r="A2180" t="str">
            <v>27/F0116</v>
          </cell>
          <cell r="B2180" t="str">
            <v>KHALFAN SALIM ALJABRI</v>
          </cell>
        </row>
        <row r="2181">
          <cell r="A2181" t="str">
            <v>27/F0117</v>
          </cell>
          <cell r="B2181" t="str">
            <v>KHALID MOHAMMED AL MAMARI</v>
          </cell>
        </row>
        <row r="2182">
          <cell r="A2182" t="str">
            <v>27/F0118</v>
          </cell>
          <cell r="B2182" t="str">
            <v>MALIK HAMDAN ALI AL MALKI</v>
          </cell>
        </row>
        <row r="2183">
          <cell r="A2183" t="str">
            <v>27/F0119</v>
          </cell>
          <cell r="B2183" t="str">
            <v>MALIK HAMDAN ALI AL MALKI</v>
          </cell>
        </row>
        <row r="2184">
          <cell r="A2184" t="str">
            <v>27/F0120</v>
          </cell>
          <cell r="B2184" t="str">
            <v>MALIK HAMDAN ALI AL MALKI</v>
          </cell>
        </row>
        <row r="2185">
          <cell r="A2185" t="str">
            <v>27/F0121</v>
          </cell>
          <cell r="B2185" t="str">
            <v>MAKASIB REAL ESTATE LLC</v>
          </cell>
        </row>
        <row r="2186">
          <cell r="A2186" t="str">
            <v>27/F0122</v>
          </cell>
          <cell r="B2186" t="str">
            <v>Said Khamis Suwaid Al Aamri</v>
          </cell>
        </row>
        <row r="2187">
          <cell r="A2187" t="str">
            <v>27/F0123</v>
          </cell>
          <cell r="B2187" t="str">
            <v>Rashid Said Mohammed Al Hosni</v>
          </cell>
        </row>
        <row r="2188">
          <cell r="A2188" t="str">
            <v>27/F0124</v>
          </cell>
          <cell r="B2188" t="str">
            <v>Rashid Said Mohammed Al Hosni</v>
          </cell>
        </row>
        <row r="2189">
          <cell r="A2189" t="str">
            <v>27/F0125</v>
          </cell>
          <cell r="B2189" t="str">
            <v>YAHYA HILAL AHMED AL MAAWALI</v>
          </cell>
        </row>
        <row r="2190">
          <cell r="A2190" t="str">
            <v>27/F0126</v>
          </cell>
          <cell r="B2190" t="str">
            <v>ZAID ABDULMAJEED MOHAMMED AL BLOUSHI</v>
          </cell>
        </row>
        <row r="2191">
          <cell r="A2191" t="str">
            <v>27/F0127</v>
          </cell>
          <cell r="B2191" t="str">
            <v>MAKTOUM RASHID HEDEB AL JABRI</v>
          </cell>
        </row>
        <row r="2192">
          <cell r="A2192" t="str">
            <v>27/F0128</v>
          </cell>
          <cell r="B2192" t="str">
            <v>FAHAD MOHAMED KHALAF AL MAAMARI</v>
          </cell>
        </row>
        <row r="2193">
          <cell r="A2193" t="str">
            <v>27/F0129</v>
          </cell>
          <cell r="B2193" t="str">
            <v>MAKASIB REAL ESTATE LLC</v>
          </cell>
        </row>
        <row r="2194">
          <cell r="A2194" t="str">
            <v>27/F0130</v>
          </cell>
          <cell r="B2194" t="str">
            <v>LUBAN DEVELOPMENT &amp; INVESTMENT LLC</v>
          </cell>
        </row>
        <row r="2195">
          <cell r="A2195" t="str">
            <v>27/F0131</v>
          </cell>
          <cell r="B2195" t="str">
            <v>MOHAMED SAID SALIM AL GHAFRI</v>
          </cell>
        </row>
        <row r="2196">
          <cell r="A2196" t="str">
            <v>27/F0132</v>
          </cell>
          <cell r="B2196" t="str">
            <v>AHMED NASSER SAID ALHADI</v>
          </cell>
        </row>
        <row r="2197">
          <cell r="A2197" t="str">
            <v>27/F0133</v>
          </cell>
          <cell r="B2197" t="str">
            <v>AHMED NASSER SAID ALHADI</v>
          </cell>
        </row>
        <row r="2198">
          <cell r="A2198" t="str">
            <v>27/F0134</v>
          </cell>
          <cell r="B2198" t="str">
            <v>AHMED NASSER SAID ALHADI</v>
          </cell>
        </row>
        <row r="2199">
          <cell r="A2199" t="str">
            <v>27/F0135</v>
          </cell>
          <cell r="B2199" t="str">
            <v>FATHIYA HAMOOD MOHAMMED AL BUSAIDI</v>
          </cell>
        </row>
        <row r="2200">
          <cell r="A2200" t="str">
            <v>27/F0136</v>
          </cell>
          <cell r="B2200" t="str">
            <v>SALEM HAMED SALEM AL ISAII</v>
          </cell>
        </row>
        <row r="2201">
          <cell r="A2201" t="str">
            <v>27/F0137</v>
          </cell>
          <cell r="B2201" t="str">
            <v>AYMAN HAMAED SALIM AMEIR AL HABSI</v>
          </cell>
        </row>
        <row r="2202">
          <cell r="A2202" t="str">
            <v>27/F0138</v>
          </cell>
          <cell r="B2202" t="str">
            <v>FAHAD KHAMIS KHALFAN AL ABRI</v>
          </cell>
        </row>
        <row r="2203">
          <cell r="A2203" t="str">
            <v>27/F0139</v>
          </cell>
          <cell r="B2203" t="str">
            <v>MAKASIB REAL ESTATE LLC</v>
          </cell>
        </row>
        <row r="2204">
          <cell r="A2204" t="str">
            <v>27/F0140</v>
          </cell>
          <cell r="B2204" t="str">
            <v>HARITH SAUD HASHIL AL UMAIRI</v>
          </cell>
        </row>
        <row r="2205">
          <cell r="A2205" t="str">
            <v>27/F0141</v>
          </cell>
          <cell r="B2205" t="str">
            <v>SAIF SALIM KHALIFAIN AL UDHUBI</v>
          </cell>
        </row>
        <row r="2206">
          <cell r="A2206" t="str">
            <v>27/F0142</v>
          </cell>
          <cell r="B2206" t="str">
            <v>SAIF SALIM KHALIFAIN AL UDHUBI</v>
          </cell>
        </row>
        <row r="2207">
          <cell r="A2207" t="str">
            <v>27/F0143</v>
          </cell>
          <cell r="B2207" t="str">
            <v>SOULAF SAIF AHMED AL QASSABI</v>
          </cell>
        </row>
        <row r="2208">
          <cell r="A2208" t="str">
            <v>27/F0144</v>
          </cell>
          <cell r="B2208" t="str">
            <v>SALIM SAID AMUR AL QAIDI</v>
          </cell>
        </row>
        <row r="2209">
          <cell r="A2209" t="str">
            <v>27/F0145</v>
          </cell>
          <cell r="B2209" t="str">
            <v>ABDULRAHEEM ABDULLAH MOHAMED ALSIYABI</v>
          </cell>
        </row>
        <row r="2210">
          <cell r="A2210" t="str">
            <v>27/F0146</v>
          </cell>
          <cell r="B2210" t="str">
            <v>Nasser Khamis Saleh Al Harthy</v>
          </cell>
        </row>
        <row r="2211">
          <cell r="A2211" t="str">
            <v>27/F0147</v>
          </cell>
          <cell r="B2211" t="str">
            <v>SAID KHALFAN OBAID AL DHABARI</v>
          </cell>
        </row>
        <row r="2212">
          <cell r="A2212" t="str">
            <v>27/G0001</v>
          </cell>
          <cell r="B2212" t="str">
            <v>NASSER SALIM AL DUHANI</v>
          </cell>
        </row>
        <row r="2213">
          <cell r="A2213" t="str">
            <v>27/G0002</v>
          </cell>
          <cell r="B2213" t="str">
            <v>AMAN REIT</v>
          </cell>
        </row>
        <row r="2214">
          <cell r="A2214" t="str">
            <v>27/G0003</v>
          </cell>
          <cell r="B2214" t="str">
            <v>KHALID HUMAID KHAMIS AL ABRI</v>
          </cell>
        </row>
        <row r="2215">
          <cell r="A2215" t="str">
            <v>27/G0004</v>
          </cell>
          <cell r="B2215" t="str">
            <v>AHMED ABDULLAH AHMED AL HOOQANI</v>
          </cell>
        </row>
        <row r="2216">
          <cell r="A2216" t="str">
            <v>27/G0005</v>
          </cell>
          <cell r="B2216" t="str">
            <v>AHMED ABDULLAH AHMED AL HOOQANI</v>
          </cell>
        </row>
        <row r="2217">
          <cell r="A2217" t="str">
            <v>27/G0006</v>
          </cell>
          <cell r="B2217" t="str">
            <v>AHMED ABDULLAH AHMED AL HOOQANI</v>
          </cell>
        </row>
        <row r="2218">
          <cell r="A2218" t="str">
            <v>27/G0007</v>
          </cell>
          <cell r="B2218" t="str">
            <v>KHALAF SAID SULAIMAN AL HASHAMI</v>
          </cell>
        </row>
        <row r="2219">
          <cell r="A2219" t="str">
            <v>27/G0008</v>
          </cell>
          <cell r="B2219" t="str">
            <v>AHMED ABDULLAH AHMED AL HOOQANI</v>
          </cell>
        </row>
        <row r="2220">
          <cell r="A2220" t="str">
            <v>27/G0009</v>
          </cell>
          <cell r="B2220" t="str">
            <v>AHMED ABDULLAH AHMED AL HOOQANI</v>
          </cell>
        </row>
        <row r="2221">
          <cell r="A2221" t="str">
            <v>27/G0010</v>
          </cell>
          <cell r="B2221" t="str">
            <v>AHMED ABDULLAH AHMED AL HOOQANI</v>
          </cell>
        </row>
        <row r="2222">
          <cell r="A2222" t="str">
            <v>27/G0011</v>
          </cell>
          <cell r="B2222" t="str">
            <v>AHMED ABDULLAH AHMED AL HOOQANI</v>
          </cell>
        </row>
        <row r="2223">
          <cell r="A2223" t="str">
            <v>27/G0012</v>
          </cell>
          <cell r="B2223" t="str">
            <v>FARIS MUBARAK OMAR AL BALUSHI</v>
          </cell>
        </row>
        <row r="2224">
          <cell r="A2224" t="str">
            <v>27/G0013</v>
          </cell>
          <cell r="B2224" t="str">
            <v>SULTAN HUMAID SAIF AL RASHDI</v>
          </cell>
        </row>
        <row r="2225">
          <cell r="A2225" t="str">
            <v>27/G0014</v>
          </cell>
          <cell r="B2225" t="str">
            <v>KHALID SAID SULAIMAN AL MAKHLDI</v>
          </cell>
        </row>
        <row r="2226">
          <cell r="A2226" t="str">
            <v>27/G0015</v>
          </cell>
          <cell r="B2226" t="str">
            <v>KHALID NASSER MOHAMED AL GHAMMARI</v>
          </cell>
        </row>
        <row r="2227">
          <cell r="A2227" t="str">
            <v>27/G0016</v>
          </cell>
          <cell r="B2227" t="str">
            <v>SULTAN MUBARAK HAMED AL SHAIBANI</v>
          </cell>
        </row>
        <row r="2228">
          <cell r="A2228" t="str">
            <v>27/G0017</v>
          </cell>
          <cell r="B2228" t="str">
            <v>MAJID SAID SAIF AL HARTHI</v>
          </cell>
        </row>
        <row r="2229">
          <cell r="A2229" t="str">
            <v>27/G0018</v>
          </cell>
          <cell r="B2229" t="str">
            <v>SALAH KH M ALJEMAZ</v>
          </cell>
        </row>
        <row r="2230">
          <cell r="A2230" t="str">
            <v>27/G0019</v>
          </cell>
          <cell r="B2230" t="str">
            <v>SALAH KH M ALJEMAZ</v>
          </cell>
        </row>
        <row r="2231">
          <cell r="A2231" t="str">
            <v>27/G0020</v>
          </cell>
          <cell r="B2231" t="str">
            <v>SALAH KH M ALJEMAZ</v>
          </cell>
        </row>
        <row r="2232">
          <cell r="A2232" t="str">
            <v>27/G0021</v>
          </cell>
          <cell r="B2232" t="str">
            <v>SALAH KH M ALJEMAZ</v>
          </cell>
        </row>
        <row r="2233">
          <cell r="A2233" t="str">
            <v>27/G0022</v>
          </cell>
          <cell r="B2233" t="str">
            <v>AHMED KHALIFA ABDULLAH AL NAAMANI</v>
          </cell>
        </row>
        <row r="2234">
          <cell r="A2234" t="str">
            <v>27/G0023</v>
          </cell>
          <cell r="B2234" t="str">
            <v>AMAN REIT</v>
          </cell>
        </row>
        <row r="2235">
          <cell r="A2235" t="str">
            <v>27/G0024</v>
          </cell>
          <cell r="B2235" t="str">
            <v>AMAN REIT</v>
          </cell>
        </row>
        <row r="2236">
          <cell r="A2236" t="str">
            <v>27/G0025</v>
          </cell>
          <cell r="B2236" t="str">
            <v>LAILA KHALFAN 'ABDULLAH AL LAMKI</v>
          </cell>
        </row>
        <row r="2237">
          <cell r="A2237" t="str">
            <v>27/G0026</v>
          </cell>
          <cell r="B2237" t="str">
            <v>SAID ABDU LLAH SAID AL MASROORI</v>
          </cell>
        </row>
        <row r="2238">
          <cell r="A2238" t="str">
            <v>27/G0027</v>
          </cell>
          <cell r="B2238" t="str">
            <v>AMAN REIT</v>
          </cell>
        </row>
        <row r="2239">
          <cell r="A2239" t="str">
            <v>27/G0028</v>
          </cell>
          <cell r="B2239" t="str">
            <v>AMAN REIT</v>
          </cell>
        </row>
        <row r="2240">
          <cell r="A2240" t="str">
            <v>27/G0029</v>
          </cell>
          <cell r="B2240" t="str">
            <v>ABDULLAH MOHAMMAD ABDULLAH AL BRAIDI</v>
          </cell>
        </row>
        <row r="2241">
          <cell r="A2241" t="str">
            <v>27/G0030</v>
          </cell>
          <cell r="B2241" t="str">
            <v>NAAMAN ABULLAH SAID SABTI</v>
          </cell>
        </row>
        <row r="2242">
          <cell r="A2242" t="str">
            <v>27/G0031</v>
          </cell>
          <cell r="B2242" t="str">
            <v>YAQOOB SAID MOHAMED AL HOSNI</v>
          </cell>
        </row>
        <row r="2243">
          <cell r="A2243" t="str">
            <v>27/G0032</v>
          </cell>
          <cell r="B2243" t="str">
            <v>ADNAN ALI JAWAD</v>
          </cell>
        </row>
        <row r="2244">
          <cell r="A2244" t="str">
            <v>27/G0033</v>
          </cell>
          <cell r="B2244" t="str">
            <v>HADI ADNAN ALI</v>
          </cell>
        </row>
        <row r="2245">
          <cell r="A2245" t="str">
            <v>27/G0034</v>
          </cell>
          <cell r="B2245" t="str">
            <v>NAJAH MOHAMMED ABDULLAH</v>
          </cell>
        </row>
        <row r="2246">
          <cell r="A2246" t="str">
            <v>27/G0035</v>
          </cell>
          <cell r="B2246" t="str">
            <v>FADHILA ABDUL AMIR HAMEED</v>
          </cell>
        </row>
        <row r="2247">
          <cell r="A2247" t="str">
            <v>27/G0036</v>
          </cell>
          <cell r="B2247" t="str">
            <v>ALAA ABDUL AMIR HAMEED</v>
          </cell>
        </row>
        <row r="2248">
          <cell r="A2248" t="str">
            <v>27/G0037</v>
          </cell>
          <cell r="B2248" t="str">
            <v>AZZAN ABDUL AMIR HAMEED</v>
          </cell>
        </row>
        <row r="2249">
          <cell r="A2249" t="str">
            <v>27/G0038</v>
          </cell>
          <cell r="B2249" t="str">
            <v>BASIM MOHAMED ABDULLAH AL LAWATI</v>
          </cell>
        </row>
        <row r="2250">
          <cell r="A2250" t="str">
            <v>27/G0039</v>
          </cell>
          <cell r="B2250" t="str">
            <v>AMAN REIT</v>
          </cell>
        </row>
        <row r="2251">
          <cell r="A2251" t="str">
            <v>27/G0040</v>
          </cell>
          <cell r="B2251" t="str">
            <v>EATEDAL Y H AL MEDAIRES</v>
          </cell>
        </row>
        <row r="2252">
          <cell r="A2252" t="str">
            <v>27/G0041</v>
          </cell>
          <cell r="B2252" t="str">
            <v>SALIM SAID HAMED AL BARASHDI</v>
          </cell>
        </row>
        <row r="2253">
          <cell r="A2253" t="str">
            <v>27/G0042</v>
          </cell>
          <cell r="B2253" t="str">
            <v>AMAN REIT</v>
          </cell>
        </row>
        <row r="2254">
          <cell r="A2254" t="str">
            <v>27/G0043</v>
          </cell>
          <cell r="B2254" t="str">
            <v>AMAN REIT</v>
          </cell>
        </row>
        <row r="2255">
          <cell r="A2255" t="str">
            <v>27/G0044</v>
          </cell>
          <cell r="B2255" t="str">
            <v>Nakhal Ahlia Investment Company SOAC</v>
          </cell>
        </row>
        <row r="2256">
          <cell r="A2256" t="str">
            <v>27/G0045</v>
          </cell>
          <cell r="B2256" t="str">
            <v>HARITH SAUD HASHIL AL UMAIRI</v>
          </cell>
        </row>
        <row r="2257">
          <cell r="A2257" t="str">
            <v>27/G0046</v>
          </cell>
          <cell r="B2257" t="str">
            <v>AMAN REIT</v>
          </cell>
        </row>
        <row r="2258">
          <cell r="A2258" t="str">
            <v>27/G0047</v>
          </cell>
          <cell r="B2258" t="str">
            <v>MAHIR NASSER ALI AL HARTHY</v>
          </cell>
        </row>
        <row r="2259">
          <cell r="A2259" t="str">
            <v>27/G0048</v>
          </cell>
          <cell r="B2259" t="str">
            <v>ABDUL RAHMAN SIDDIQ ABDUL RAHMAN AL SAIGH</v>
          </cell>
        </row>
        <row r="2260">
          <cell r="A2260" t="str">
            <v>27/G0049</v>
          </cell>
          <cell r="B2260" t="str">
            <v>ALI AHMED ALI ALSINANI</v>
          </cell>
        </row>
        <row r="2261">
          <cell r="A2261" t="str">
            <v>27/G0050</v>
          </cell>
          <cell r="B2261" t="str">
            <v>AMAN REIT</v>
          </cell>
        </row>
        <row r="2262">
          <cell r="A2262" t="str">
            <v>27/G0051</v>
          </cell>
          <cell r="B2262" t="str">
            <v>AMAN REIT</v>
          </cell>
        </row>
        <row r="2263">
          <cell r="A2263" t="str">
            <v>27/G0052</v>
          </cell>
          <cell r="B2263" t="str">
            <v>AMAN REIT</v>
          </cell>
        </row>
        <row r="2264">
          <cell r="A2264" t="str">
            <v>27/G0053</v>
          </cell>
          <cell r="B2264" t="str">
            <v>AMAN REIT</v>
          </cell>
        </row>
        <row r="2265">
          <cell r="A2265" t="str">
            <v>27/G0054</v>
          </cell>
          <cell r="B2265" t="str">
            <v>AMAN REIT</v>
          </cell>
        </row>
        <row r="2266">
          <cell r="A2266" t="str">
            <v>28/F0101</v>
          </cell>
          <cell r="B2266" t="str">
            <v>ABDUL KARIM ALI JAWAD AL LAWATI</v>
          </cell>
        </row>
        <row r="2267">
          <cell r="A2267" t="str">
            <v>28/F0102</v>
          </cell>
          <cell r="B2267" t="str">
            <v>MATAR SAID NASSER AL SAIDI</v>
          </cell>
        </row>
        <row r="2268">
          <cell r="A2268" t="str">
            <v>28/F0103</v>
          </cell>
          <cell r="B2268" t="str">
            <v>MARYAM SALIM SAROOR AL SALMI</v>
          </cell>
        </row>
        <row r="2269">
          <cell r="A2269" t="str">
            <v>28/F0104</v>
          </cell>
          <cell r="B2269" t="str">
            <v>AFRA SAID MOHAMMED AL ZUHAIMI</v>
          </cell>
        </row>
        <row r="2270">
          <cell r="A2270" t="str">
            <v>28/F0105</v>
          </cell>
          <cell r="B2270" t="str">
            <v>HUSSAIN ALI SIDDIQ AL ZADJALI</v>
          </cell>
        </row>
        <row r="2271">
          <cell r="A2271" t="str">
            <v>28/F0106</v>
          </cell>
          <cell r="B2271" t="str">
            <v>NAAMAN ABULLAH SAID SABTI</v>
          </cell>
        </row>
        <row r="2272">
          <cell r="A2272" t="str">
            <v>28/F0107</v>
          </cell>
          <cell r="B2272" t="str">
            <v>BADAR SAIF RASHID AL ABRI</v>
          </cell>
        </row>
        <row r="2273">
          <cell r="A2273" t="str">
            <v>28/F0108</v>
          </cell>
          <cell r="B2273" t="str">
            <v>HISHAM HMOOD AL RAWAHI</v>
          </cell>
        </row>
        <row r="2274">
          <cell r="A2274" t="str">
            <v>28/F0109</v>
          </cell>
          <cell r="B2274" t="str">
            <v>MOHSIN ALI MURAD AL BULUSHI</v>
          </cell>
        </row>
        <row r="2275">
          <cell r="A2275" t="str">
            <v>28/F0110</v>
          </cell>
          <cell r="B2275" t="str">
            <v>FATHIYA HAMOOD MOHAMMED AL BUSAIDI</v>
          </cell>
        </row>
        <row r="2276">
          <cell r="A2276" t="str">
            <v>28/F0111</v>
          </cell>
          <cell r="B2276" t="str">
            <v>MUBARAK ALI AL FARSI</v>
          </cell>
        </row>
        <row r="2277">
          <cell r="A2277" t="str">
            <v>28/F0112</v>
          </cell>
          <cell r="B2277" t="str">
            <v>ABDULLAH SAIF AL KHAIFI</v>
          </cell>
        </row>
        <row r="2278">
          <cell r="A2278" t="str">
            <v>28/F0113</v>
          </cell>
          <cell r="B2278" t="str">
            <v>ZAKIYA HAMOOD ALI AL FAREI</v>
          </cell>
        </row>
        <row r="2279">
          <cell r="A2279" t="str">
            <v>28/F0114</v>
          </cell>
          <cell r="B2279" t="str">
            <v>SHAIKHA SAIF MOHAMED AL GHAMMARI</v>
          </cell>
        </row>
        <row r="2280">
          <cell r="A2280" t="str">
            <v>28/F0115</v>
          </cell>
          <cell r="B2280" t="str">
            <v>JABIR ALI AL MAHROUQI</v>
          </cell>
        </row>
        <row r="2281">
          <cell r="A2281" t="str">
            <v>28/F0116</v>
          </cell>
          <cell r="B2281" t="str">
            <v>SALAH SALIM MOHAMED AL MAHROOQI</v>
          </cell>
        </row>
        <row r="2282">
          <cell r="A2282" t="str">
            <v>28/F0117</v>
          </cell>
          <cell r="B2282" t="str">
            <v>KHALID SALIM SAID AL WAHEIBI</v>
          </cell>
        </row>
        <row r="2283">
          <cell r="A2283" t="str">
            <v>28/F0118</v>
          </cell>
          <cell r="B2283" t="str">
            <v>KHALID SALIM SAID AL WAHEIBI</v>
          </cell>
        </row>
        <row r="2284">
          <cell r="A2284" t="str">
            <v>28/F0119</v>
          </cell>
          <cell r="B2284" t="str">
            <v>LUBAN DEVELOPMENT &amp; INVESTMENT LLC</v>
          </cell>
        </row>
        <row r="2285">
          <cell r="A2285" t="str">
            <v>28/F0120</v>
          </cell>
          <cell r="B2285" t="str">
            <v>GHANIM OBAID AL HOSNI</v>
          </cell>
        </row>
        <row r="2286">
          <cell r="A2286" t="str">
            <v>28/F0121</v>
          </cell>
          <cell r="B2286" t="str">
            <v>SULAIMAN HUMAID NASSER AL BADAAI</v>
          </cell>
        </row>
        <row r="2287">
          <cell r="A2287" t="str">
            <v>28/F0122</v>
          </cell>
          <cell r="B2287" t="str">
            <v>SULAIMAN HUMAID NASSER AL BADAAI</v>
          </cell>
        </row>
        <row r="2288">
          <cell r="A2288" t="str">
            <v>28/F0123</v>
          </cell>
          <cell r="B2288" t="str">
            <v>SANDAN PARTNER</v>
          </cell>
        </row>
        <row r="2289">
          <cell r="A2289" t="str">
            <v>28/F0124</v>
          </cell>
          <cell r="B2289" t="str">
            <v>AMMAR SALIM HUMAID MOHAMMED AL SIDAIRI</v>
          </cell>
        </row>
        <row r="2290">
          <cell r="A2290" t="str">
            <v>28/F0125</v>
          </cell>
          <cell r="B2290" t="str">
            <v>ALI AL JABRI</v>
          </cell>
        </row>
        <row r="2291">
          <cell r="A2291" t="str">
            <v>28/F0126</v>
          </cell>
          <cell r="B2291" t="str">
            <v>RABAA KHALID HILAL AL NABHANI</v>
          </cell>
        </row>
        <row r="2292">
          <cell r="A2292" t="str">
            <v>28/F0127</v>
          </cell>
          <cell r="B2292" t="str">
            <v>AL HARITH AHMED HARITH AL NABHANI</v>
          </cell>
        </row>
        <row r="2293">
          <cell r="A2293" t="str">
            <v>28/F0128</v>
          </cell>
          <cell r="B2293" t="str">
            <v>AL SAYYID ISSA SAID KHALIFA AL BUSAIDI</v>
          </cell>
        </row>
        <row r="2294">
          <cell r="A2294" t="str">
            <v>28/F0129</v>
          </cell>
          <cell r="B2294" t="str">
            <v>MOHAMMED SALEH SAID AL KINDI</v>
          </cell>
        </row>
        <row r="2295">
          <cell r="A2295" t="str">
            <v>28/F0130</v>
          </cell>
          <cell r="B2295" t="str">
            <v>MOHAMMED SALEH SAID AL KINDI</v>
          </cell>
        </row>
        <row r="2296">
          <cell r="A2296" t="str">
            <v>28/F0131</v>
          </cell>
          <cell r="B2296" t="str">
            <v>BADAR SULAIMAN MANSOOR AWLAD THANI</v>
          </cell>
        </row>
        <row r="2297">
          <cell r="A2297" t="str">
            <v>28/F0132</v>
          </cell>
          <cell r="B2297" t="str">
            <v>WAHIDA AHMED ABDULLAH AL HARTHI</v>
          </cell>
        </row>
        <row r="2298">
          <cell r="A2298" t="str">
            <v>28/F0133</v>
          </cell>
          <cell r="B2298" t="str">
            <v>SAID HUMAID MOHAMMED AL SUDAIRI</v>
          </cell>
        </row>
        <row r="2299">
          <cell r="A2299" t="str">
            <v>28/F0134</v>
          </cell>
          <cell r="B2299" t="str">
            <v>MAZIN HAMDAN SALIM AL SHABIBI</v>
          </cell>
        </row>
        <row r="2300">
          <cell r="A2300" t="str">
            <v>28/F0135</v>
          </cell>
          <cell r="B2300" t="str">
            <v>SULTAN MOHAMMED SALEH AL KINDI</v>
          </cell>
        </row>
        <row r="2301">
          <cell r="A2301" t="str">
            <v>28/F0136</v>
          </cell>
          <cell r="B2301" t="str">
            <v>HAMOOD SAID SULAIYAM AL ABRI</v>
          </cell>
        </row>
        <row r="2302">
          <cell r="A2302" t="str">
            <v>28/F0137</v>
          </cell>
          <cell r="B2302" t="str">
            <v>HAMOOD SAID SULAIYAM AL ABRI</v>
          </cell>
        </row>
        <row r="2303">
          <cell r="A2303" t="str">
            <v>28/F0138</v>
          </cell>
          <cell r="B2303" t="str">
            <v>HAMED MOHAMED SAID AL HOSNI</v>
          </cell>
        </row>
        <row r="2304">
          <cell r="A2304" t="str">
            <v>28/F0139</v>
          </cell>
          <cell r="B2304" t="str">
            <v>SHAIKHAN MOHAMMED ZAHRAN AL SALMI</v>
          </cell>
        </row>
        <row r="2305">
          <cell r="A2305" t="str">
            <v>28/F0140</v>
          </cell>
          <cell r="B2305" t="str">
            <v>SALIM HAMED SAIF AL SUKAITI</v>
          </cell>
        </row>
        <row r="2306">
          <cell r="A2306" t="str">
            <v>28/F0141</v>
          </cell>
          <cell r="B2306" t="str">
            <v>ARIF HUMAID HAMED AL HUBAISHI</v>
          </cell>
        </row>
        <row r="2307">
          <cell r="A2307" t="str">
            <v>28/F0142</v>
          </cell>
          <cell r="B2307" t="str">
            <v>ADHAM SALEH SAID AL MASKARI</v>
          </cell>
        </row>
        <row r="2308">
          <cell r="A2308" t="str">
            <v>28/F0143</v>
          </cell>
          <cell r="B2308" t="str">
            <v>SALIM SAID SAIF AL MANJI</v>
          </cell>
        </row>
        <row r="2309">
          <cell r="A2309" t="str">
            <v>28/F0144</v>
          </cell>
          <cell r="B2309" t="str">
            <v>SALIM SAID SAIF AL MANJI</v>
          </cell>
        </row>
        <row r="2310">
          <cell r="A2310" t="str">
            <v>28/F0145</v>
          </cell>
          <cell r="B2310" t="str">
            <v>MOHAMED ALI MUBARIK AL FARSI</v>
          </cell>
        </row>
        <row r="2311">
          <cell r="A2311" t="str">
            <v>28/G0001</v>
          </cell>
          <cell r="B2311" t="str">
            <v>SHAMSA AL GHASSANI</v>
          </cell>
        </row>
        <row r="2312">
          <cell r="A2312" t="str">
            <v>28/G0002</v>
          </cell>
          <cell r="B2312" t="str">
            <v>SULTAN YAHYA ABDALLAH AL RASHDI</v>
          </cell>
        </row>
        <row r="2313">
          <cell r="A2313" t="str">
            <v>28/G0003</v>
          </cell>
          <cell r="B2313" t="str">
            <v>ABDULLAH YAHYA TALIB AL ANBOORI</v>
          </cell>
        </row>
        <row r="2314">
          <cell r="A2314" t="str">
            <v>28/G0004</v>
          </cell>
          <cell r="B2314" t="str">
            <v>MOOSA ABDULLAH SAIF AL QASSABI</v>
          </cell>
        </row>
        <row r="2315">
          <cell r="A2315" t="str">
            <v>28/G0005</v>
          </cell>
          <cell r="B2315" t="str">
            <v>KHAMIS SALIM SAID AL HATTALI</v>
          </cell>
        </row>
        <row r="2316">
          <cell r="A2316" t="str">
            <v>28/G0006</v>
          </cell>
          <cell r="B2316" t="str">
            <v>AMAN REIT</v>
          </cell>
        </row>
        <row r="2317">
          <cell r="A2317" t="str">
            <v>28/G0007</v>
          </cell>
          <cell r="B2317" t="str">
            <v>AMAN REIT</v>
          </cell>
        </row>
        <row r="2318">
          <cell r="A2318" t="str">
            <v>28/G0008</v>
          </cell>
          <cell r="B2318" t="str">
            <v>TAHANI R A A AL RASHED</v>
          </cell>
        </row>
        <row r="2319">
          <cell r="A2319" t="str">
            <v>28/G0009</v>
          </cell>
          <cell r="B2319" t="str">
            <v>MOHAMMED SAUD MOHSIN AL NAAMANI</v>
          </cell>
        </row>
        <row r="2320">
          <cell r="A2320" t="str">
            <v>28/G0010</v>
          </cell>
          <cell r="B2320" t="str">
            <v>MOHAMMED SAUD MOHSIN AL NAAMANI</v>
          </cell>
        </row>
        <row r="2321">
          <cell r="A2321" t="str">
            <v>28/G0011</v>
          </cell>
          <cell r="B2321" t="str">
            <v>MABROOKA SAIF SULAIMAN AL HAKMANI</v>
          </cell>
        </row>
        <row r="2322">
          <cell r="A2322" t="str">
            <v>28/G0012</v>
          </cell>
          <cell r="B2322" t="str">
            <v>MOHAMMED ABDULLAH SULAIMAN AL HAJJI</v>
          </cell>
        </row>
        <row r="2323">
          <cell r="A2323" t="str">
            <v>28/G0013</v>
          </cell>
          <cell r="B2323" t="str">
            <v>MOHAMMED ABDULLAH SULAIMAN AL HAJJI</v>
          </cell>
        </row>
        <row r="2324">
          <cell r="A2324" t="str">
            <v>28/G0014</v>
          </cell>
          <cell r="B2324" t="str">
            <v>MOHAMED KHALIFAN MOHAMED AL HOSNI</v>
          </cell>
        </row>
        <row r="2325">
          <cell r="A2325" t="str">
            <v>28/G0015</v>
          </cell>
          <cell r="B2325" t="str">
            <v>JABIR ALI AL MAHROUQI</v>
          </cell>
        </row>
        <row r="2326">
          <cell r="A2326" t="str">
            <v>28/G0016</v>
          </cell>
          <cell r="B2326" t="str">
            <v>HAMED MOHAMMED SALIM AL MAHRUQI</v>
          </cell>
        </row>
        <row r="2327">
          <cell r="A2327" t="str">
            <v>28/G0017</v>
          </cell>
          <cell r="B2327" t="str">
            <v>ABDUL KARIM ALI JAWAD AL LAWATI</v>
          </cell>
        </row>
        <row r="2328">
          <cell r="A2328" t="str">
            <v>28/G0018</v>
          </cell>
          <cell r="B2328" t="str">
            <v>MOHAMED NASSER KHALFAN AL RIYAMI</v>
          </cell>
        </row>
        <row r="2329">
          <cell r="A2329" t="str">
            <v>28/G0019</v>
          </cell>
          <cell r="B2329" t="str">
            <v>MOHAMED NASSER KHALFAN AL RIYAMI</v>
          </cell>
        </row>
        <row r="2330">
          <cell r="A2330" t="str">
            <v>28/G0020</v>
          </cell>
          <cell r="B2330" t="str">
            <v>GHANIM OBAID AL HOSNI</v>
          </cell>
        </row>
        <row r="2331">
          <cell r="A2331" t="str">
            <v>28/G0021</v>
          </cell>
          <cell r="B2331" t="str">
            <v>AHMED LHAMIS NASSER AL GHARBI</v>
          </cell>
        </row>
        <row r="2332">
          <cell r="A2332" t="str">
            <v>28/G0022</v>
          </cell>
          <cell r="B2332" t="str">
            <v>KHALID SULAIMAN SALIM AL KAMYANI</v>
          </cell>
        </row>
        <row r="2333">
          <cell r="A2333" t="str">
            <v>28/G0023</v>
          </cell>
          <cell r="B2333" t="str">
            <v>GREEN WISHES INVESTMENT LLC</v>
          </cell>
        </row>
        <row r="2334">
          <cell r="A2334" t="str">
            <v>28/G0024</v>
          </cell>
          <cell r="B2334" t="str">
            <v>AMAN REIT</v>
          </cell>
        </row>
        <row r="2335">
          <cell r="A2335" t="str">
            <v>28/G0025</v>
          </cell>
          <cell r="B2335" t="str">
            <v>AMMAR SALIM HUMAID MOHAMMED AL SIDAIRI</v>
          </cell>
        </row>
        <row r="2336">
          <cell r="A2336" t="str">
            <v>28/G0026</v>
          </cell>
          <cell r="B2336" t="str">
            <v>SALIM HAMOOD MOHAMED AL HARASI</v>
          </cell>
        </row>
        <row r="2337">
          <cell r="A2337" t="str">
            <v>28/G0027</v>
          </cell>
          <cell r="B2337" t="str">
            <v>SALIM HAMOOD MOHAMED AL HARASI</v>
          </cell>
        </row>
        <row r="2338">
          <cell r="A2338" t="str">
            <v>28/G0028</v>
          </cell>
          <cell r="B2338" t="str">
            <v>AMAN REIT</v>
          </cell>
        </row>
        <row r="2339">
          <cell r="A2339" t="str">
            <v>28/G0029</v>
          </cell>
          <cell r="B2339" t="str">
            <v>SAID ALI MOHAMMED AL BULUSHI</v>
          </cell>
        </row>
        <row r="2340">
          <cell r="A2340" t="str">
            <v>28/G0030</v>
          </cell>
          <cell r="B2340" t="str">
            <v>AMAN REIT</v>
          </cell>
        </row>
        <row r="2341">
          <cell r="A2341" t="str">
            <v>28/G0031</v>
          </cell>
          <cell r="B2341" t="str">
            <v>AMAN REIT</v>
          </cell>
        </row>
        <row r="2342">
          <cell r="A2342" t="str">
            <v>28/G0032</v>
          </cell>
          <cell r="B2342" t="str">
            <v>SALIM HAMOOD MOHAMED AL HARASI</v>
          </cell>
        </row>
        <row r="2343">
          <cell r="A2343" t="str">
            <v>28/G0033</v>
          </cell>
          <cell r="B2343" t="str">
            <v>SALIM HAMOOD MOHAMED AL HARASI</v>
          </cell>
        </row>
        <row r="2344">
          <cell r="A2344" t="str">
            <v>28/G0034</v>
          </cell>
          <cell r="B2344" t="str">
            <v>SALAH SALIM SUROOR AL SHUKILI</v>
          </cell>
        </row>
        <row r="2345">
          <cell r="A2345" t="str">
            <v>28/G0035</v>
          </cell>
          <cell r="B2345" t="str">
            <v>SAID HUMAID MOHAMMED AL SUDAIRI</v>
          </cell>
        </row>
        <row r="2346">
          <cell r="A2346" t="str">
            <v>28/G0036</v>
          </cell>
          <cell r="B2346" t="str">
            <v>SULAIMAN MOHAMED HAMOOD AL FAHDI</v>
          </cell>
        </row>
        <row r="2347">
          <cell r="A2347" t="str">
            <v>28/G0037</v>
          </cell>
          <cell r="B2347" t="str">
            <v>HAMOOD SAID SULAIYAM AL ABRI</v>
          </cell>
        </row>
        <row r="2348">
          <cell r="A2348" t="str">
            <v>28/G0038</v>
          </cell>
          <cell r="B2348" t="str">
            <v>HAMOOD SAID SULAIYAM AL ABRI</v>
          </cell>
        </row>
        <row r="2349">
          <cell r="A2349" t="str">
            <v>28/G0039</v>
          </cell>
          <cell r="B2349" t="str">
            <v>FATMA HAMOOD AHMED AL KINDI</v>
          </cell>
        </row>
        <row r="2350">
          <cell r="A2350" t="str">
            <v>28/G0040</v>
          </cell>
          <cell r="B2350" t="str">
            <v>NASR SULEIMAN NASSER AL QASSABI</v>
          </cell>
        </row>
        <row r="2351">
          <cell r="A2351" t="str">
            <v>28/G0041</v>
          </cell>
          <cell r="B2351" t="str">
            <v>SALIM HAMED SAIF AL SUKAITI</v>
          </cell>
        </row>
        <row r="2352">
          <cell r="A2352" t="str">
            <v>28/G0042</v>
          </cell>
          <cell r="B2352" t="str">
            <v>SHAIKHAN MOHAMMED ZAHRAN AL SALMI</v>
          </cell>
        </row>
        <row r="2353">
          <cell r="A2353" t="str">
            <v>28/G0043</v>
          </cell>
          <cell r="B2353" t="str">
            <v>ASILA HAMED SULAIMAN AL AMRI</v>
          </cell>
        </row>
        <row r="2354">
          <cell r="A2354" t="str">
            <v>28/G0044</v>
          </cell>
          <cell r="B2354" t="str">
            <v>TARIQ HAMED KHALFAN AL MAWALI</v>
          </cell>
        </row>
        <row r="2355">
          <cell r="A2355" t="str">
            <v>28/G0045</v>
          </cell>
          <cell r="B2355" t="str">
            <v>HAMED MOHAMED SAID AL HOSNI</v>
          </cell>
        </row>
        <row r="2356">
          <cell r="A2356" t="str">
            <v>28/G0046</v>
          </cell>
          <cell r="B2356" t="str">
            <v>Hamed Nasser Rashid Al Musalhi</v>
          </cell>
        </row>
        <row r="2357">
          <cell r="A2357" t="str">
            <v>28/G0047</v>
          </cell>
          <cell r="B2357" t="str">
            <v>AL MUATASIM AHMED SAID AL HINAI</v>
          </cell>
        </row>
        <row r="2358">
          <cell r="A2358" t="str">
            <v>28/G0048</v>
          </cell>
          <cell r="B2358" t="str">
            <v>HAMED MOHAMMED SALIM AL MAHRUQI</v>
          </cell>
        </row>
        <row r="2359">
          <cell r="A2359" t="str">
            <v>28/G0049</v>
          </cell>
          <cell r="B2359" t="str">
            <v>AMAN REIT</v>
          </cell>
        </row>
        <row r="2360">
          <cell r="A2360" t="str">
            <v>28/G0050</v>
          </cell>
          <cell r="B2360" t="str">
            <v>AMAN REIT</v>
          </cell>
        </row>
        <row r="2361">
          <cell r="A2361" t="str">
            <v>28/G0051</v>
          </cell>
          <cell r="B2361" t="str">
            <v>AMAN REIT</v>
          </cell>
        </row>
        <row r="2362">
          <cell r="A2362" t="str">
            <v>28/G0052</v>
          </cell>
          <cell r="B2362" t="str">
            <v>AMAN REIT</v>
          </cell>
        </row>
        <row r="2363">
          <cell r="A2363" t="str">
            <v>28/G0053</v>
          </cell>
          <cell r="B2363" t="str">
            <v>AMAN REIT</v>
          </cell>
        </row>
        <row r="2364">
          <cell r="A2364" t="str">
            <v>29/F0101</v>
          </cell>
          <cell r="B2364" t="str">
            <v>MOHAMMED SAID AL FAZARI</v>
          </cell>
        </row>
        <row r="2365">
          <cell r="A2365" t="str">
            <v>29/F0102</v>
          </cell>
          <cell r="B2365" t="str">
            <v>SANDAN PARTNER</v>
          </cell>
        </row>
        <row r="2366">
          <cell r="A2366" t="str">
            <v>29/F0103</v>
          </cell>
          <cell r="B2366" t="str">
            <v>SABIH SALIM SAID AL HARTHI</v>
          </cell>
        </row>
        <row r="2367">
          <cell r="A2367" t="str">
            <v>29/F0104</v>
          </cell>
          <cell r="B2367" t="str">
            <v>MOHAMED SAID ABDULLA AL AZKAWI</v>
          </cell>
        </row>
        <row r="2368">
          <cell r="A2368" t="str">
            <v>29/F0105</v>
          </cell>
          <cell r="B2368" t="str">
            <v>SALIM HAMED AL MAMARI</v>
          </cell>
        </row>
        <row r="2369">
          <cell r="A2369" t="str">
            <v>29/F0106</v>
          </cell>
          <cell r="B2369" t="str">
            <v>HAMED MOHAMED SAID  AL HOSNI</v>
          </cell>
        </row>
        <row r="2370">
          <cell r="A2370" t="str">
            <v>29/F0107</v>
          </cell>
          <cell r="B2370" t="str">
            <v>HAMED MOHAMED SAID  AL HOSNI</v>
          </cell>
        </row>
        <row r="2371">
          <cell r="A2371" t="str">
            <v>29/F0108</v>
          </cell>
          <cell r="B2371" t="str">
            <v>AMUR SALIM QASOUR AL RASHDI</v>
          </cell>
        </row>
        <row r="2372">
          <cell r="A2372" t="str">
            <v>29/F0109</v>
          </cell>
          <cell r="B2372" t="str">
            <v>KHADIJA SAID ANEES BANI ARABA</v>
          </cell>
        </row>
        <row r="2373">
          <cell r="A2373" t="str">
            <v>29/F0110</v>
          </cell>
          <cell r="B2373" t="str">
            <v>LUBAN DEVELOPMENT &amp; INVESTMENT LLC</v>
          </cell>
        </row>
        <row r="2374">
          <cell r="A2374" t="str">
            <v>29/F0111</v>
          </cell>
          <cell r="B2374" t="str">
            <v>NASSER RASHID HAMED AL MUKHAINI</v>
          </cell>
        </row>
        <row r="2375">
          <cell r="A2375" t="str">
            <v>29/F0112</v>
          </cell>
          <cell r="B2375" t="str">
            <v>MAHMOOD JAFFAR MOHAMED AL AJMI</v>
          </cell>
        </row>
        <row r="2376">
          <cell r="A2376" t="str">
            <v>29/F0113</v>
          </cell>
          <cell r="B2376" t="str">
            <v>FAHMI ABDULLAH MOHAMED AL JAHDHAMI</v>
          </cell>
        </row>
        <row r="2377">
          <cell r="A2377" t="str">
            <v>29/F0114</v>
          </cell>
          <cell r="B2377" t="str">
            <v>ZAKARIYA YOUSUF MURAD AL AJMI</v>
          </cell>
        </row>
        <row r="2378">
          <cell r="A2378" t="str">
            <v>29/F0115</v>
          </cell>
          <cell r="B2378" t="str">
            <v>ZAHRA SALIM ALI AL MAHRUQI</v>
          </cell>
        </row>
        <row r="2379">
          <cell r="A2379" t="str">
            <v>29/F0116</v>
          </cell>
          <cell r="B2379" t="str">
            <v>WARDA ABDULLAH HAMED AL MAHRUQI</v>
          </cell>
        </row>
        <row r="2380">
          <cell r="A2380" t="str">
            <v>29/F0117</v>
          </cell>
          <cell r="B2380" t="str">
            <v>MUSTAFA ABDUL KHALIQ MOHAMED</v>
          </cell>
        </row>
        <row r="2381">
          <cell r="A2381" t="str">
            <v>29/F0118</v>
          </cell>
          <cell r="B2381" t="str">
            <v>MAHMOOD SAKHI MAHMOOD AL BALUSHI</v>
          </cell>
        </row>
        <row r="2382">
          <cell r="A2382" t="str">
            <v>29/F0119</v>
          </cell>
          <cell r="B2382" t="str">
            <v>QASIM HUSSEIN ALI AL AJAMI</v>
          </cell>
        </row>
        <row r="2383">
          <cell r="A2383" t="str">
            <v>29/F0120</v>
          </cell>
          <cell r="B2383" t="str">
            <v>MANSOOR NASSER HAMOOD AL DUGHAISHI</v>
          </cell>
        </row>
        <row r="2384">
          <cell r="A2384" t="str">
            <v>29/F0121</v>
          </cell>
          <cell r="B2384" t="str">
            <v>HILAL NASSER OFI</v>
          </cell>
        </row>
        <row r="2385">
          <cell r="A2385" t="str">
            <v>29/F0122</v>
          </cell>
          <cell r="B2385" t="str">
            <v>MOHAMMED SAUD MOHSIN AL NAAMANI</v>
          </cell>
        </row>
        <row r="2386">
          <cell r="A2386" t="str">
            <v>29/F0123</v>
          </cell>
          <cell r="B2386" t="str">
            <v>MOHAMMED SAUD MOHSIN AL NAAMANI</v>
          </cell>
        </row>
        <row r="2387">
          <cell r="A2387" t="str">
            <v>29/F0124</v>
          </cell>
          <cell r="B2387" t="str">
            <v>BADAR SALIM ALFARSI</v>
          </cell>
        </row>
        <row r="2388">
          <cell r="A2388" t="str">
            <v>29/F0125</v>
          </cell>
          <cell r="B2388" t="str">
            <v>MOHAMMED SAUD MOHSIN AL NAAMANI</v>
          </cell>
        </row>
        <row r="2389">
          <cell r="A2389" t="str">
            <v>29/F0126</v>
          </cell>
          <cell r="B2389" t="str">
            <v>MOHAMMED SAUD MOHSIN AL NAAMANI</v>
          </cell>
        </row>
        <row r="2390">
          <cell r="A2390" t="str">
            <v>29/F0127</v>
          </cell>
          <cell r="B2390" t="str">
            <v>KHALID SULAIMAN HAMED AL SULAIMANI</v>
          </cell>
        </row>
        <row r="2391">
          <cell r="A2391" t="str">
            <v>29/F0128</v>
          </cell>
          <cell r="B2391" t="str">
            <v>SAID HAMED SUWAID AL HARRASI</v>
          </cell>
        </row>
        <row r="2392">
          <cell r="A2392" t="str">
            <v>29/F0129</v>
          </cell>
          <cell r="B2392" t="str">
            <v>MOHAMMED SULAIMAN NAJEEM AL RASHDI</v>
          </cell>
        </row>
        <row r="2393">
          <cell r="A2393" t="str">
            <v>29/F0130</v>
          </cell>
          <cell r="B2393" t="str">
            <v>FAHAD SAUD NASSER AL RIYAMI</v>
          </cell>
        </row>
        <row r="2394">
          <cell r="A2394" t="str">
            <v>29/F0131</v>
          </cell>
          <cell r="B2394" t="str">
            <v>AHMED ALI AHMED BAHASHWAN</v>
          </cell>
        </row>
        <row r="2395">
          <cell r="A2395" t="str">
            <v>29/F0132</v>
          </cell>
          <cell r="B2395" t="str">
            <v>AHMED SAID SALIM AL AWFI</v>
          </cell>
        </row>
        <row r="2396">
          <cell r="A2396" t="str">
            <v>29/F0133</v>
          </cell>
          <cell r="B2396" t="str">
            <v>AHMED SAID SALIM AL AWFI</v>
          </cell>
        </row>
        <row r="2397">
          <cell r="A2397" t="str">
            <v>29/F0134</v>
          </cell>
          <cell r="B2397" t="str">
            <v>AHMED KHALIFA ABDULLAH AL NAAMANI</v>
          </cell>
        </row>
        <row r="2398">
          <cell r="A2398" t="str">
            <v>29/F0135</v>
          </cell>
          <cell r="B2398" t="str">
            <v>SAIF SULAIMAN HAMOOD AL HARTHY</v>
          </cell>
        </row>
        <row r="2399">
          <cell r="A2399" t="str">
            <v>29/F0136</v>
          </cell>
          <cell r="B2399" t="str">
            <v>SAIF SAID HAMED AL MAQBALI</v>
          </cell>
        </row>
        <row r="2400">
          <cell r="A2400" t="str">
            <v>29/F0137</v>
          </cell>
          <cell r="B2400" t="str">
            <v>ABDUL SALAM MOHAMED ABDULLA AL ZAKWANI</v>
          </cell>
        </row>
        <row r="2401">
          <cell r="A2401" t="str">
            <v>29/F0138</v>
          </cell>
          <cell r="B2401" t="str">
            <v>REDHA ALI MOHSIN AL LAWATI</v>
          </cell>
        </row>
        <row r="2402">
          <cell r="A2402" t="str">
            <v>29/F0139</v>
          </cell>
          <cell r="B2402" t="str">
            <v>MOHAMED ABDULLAH NASSER AL GHAMARI</v>
          </cell>
        </row>
        <row r="2403">
          <cell r="A2403" t="str">
            <v>29/F0140</v>
          </cell>
          <cell r="B2403" t="str">
            <v>AHMED SALIM NASSER AL NABHANI</v>
          </cell>
        </row>
        <row r="2404">
          <cell r="A2404" t="str">
            <v>29/F0141</v>
          </cell>
          <cell r="B2404" t="str">
            <v>NASSER SALIM NASSER AL NABHANI</v>
          </cell>
        </row>
        <row r="2405">
          <cell r="A2405" t="str">
            <v>29/F0142</v>
          </cell>
          <cell r="B2405" t="str">
            <v>ASILA SAID MOHAMMED AL SAADI</v>
          </cell>
        </row>
        <row r="2406">
          <cell r="A2406" t="str">
            <v>29/F0143</v>
          </cell>
          <cell r="B2406" t="str">
            <v>SALIM AHMED ALI AL ZBAIDI</v>
          </cell>
        </row>
        <row r="2407">
          <cell r="A2407" t="str">
            <v>29/F0144</v>
          </cell>
          <cell r="B2407" t="str">
            <v>ISHAQ SULAIMAN ABDULLAH AL HABSI</v>
          </cell>
        </row>
        <row r="2408">
          <cell r="A2408" t="str">
            <v>29/F0145</v>
          </cell>
          <cell r="B2408" t="str">
            <v>NASSER ABDULLAH NASSER AL GHAMMARI</v>
          </cell>
        </row>
        <row r="2409">
          <cell r="A2409" t="str">
            <v>29/F0146</v>
          </cell>
          <cell r="B2409" t="str">
            <v>AYOUB SAAD SAID AL MANDHARI</v>
          </cell>
        </row>
        <row r="2410">
          <cell r="A2410" t="str">
            <v>29/F0147</v>
          </cell>
          <cell r="B2410" t="str">
            <v>IBRAHIM SAID MOHAMMED AL HOSNI</v>
          </cell>
        </row>
        <row r="2411">
          <cell r="A2411" t="str">
            <v>29/G0001</v>
          </cell>
          <cell r="B2411" t="str">
            <v>MUHANNAD MOHAMMED AL GHAILANI</v>
          </cell>
        </row>
        <row r="2412">
          <cell r="A2412" t="str">
            <v>29/G0002</v>
          </cell>
          <cell r="B2412" t="str">
            <v>MOHAMMED SAUD MOHSIN AL NAAMANI</v>
          </cell>
        </row>
        <row r="2413">
          <cell r="A2413" t="str">
            <v>29/G0003</v>
          </cell>
          <cell r="B2413" t="str">
            <v>MOHAMMED SAUD MOHSIN AL NAAMANI</v>
          </cell>
        </row>
        <row r="2414">
          <cell r="A2414" t="str">
            <v>29/G0004</v>
          </cell>
          <cell r="B2414" t="str">
            <v>AMAN REIT</v>
          </cell>
        </row>
        <row r="2415">
          <cell r="A2415" t="str">
            <v>29/G0005</v>
          </cell>
          <cell r="B2415" t="str">
            <v>AMAN REIT</v>
          </cell>
        </row>
        <row r="2416">
          <cell r="A2416" t="str">
            <v>29/G0006</v>
          </cell>
          <cell r="B2416" t="str">
            <v>HILAL ABDULLAH SAIF AL HABSI</v>
          </cell>
        </row>
        <row r="2417">
          <cell r="A2417" t="str">
            <v>29/G0007</v>
          </cell>
          <cell r="B2417" t="str">
            <v>HAMED MOHAMMED SALIM AL MAHRUQI</v>
          </cell>
        </row>
        <row r="2418">
          <cell r="A2418" t="str">
            <v>29/G0008</v>
          </cell>
          <cell r="B2418" t="str">
            <v>AMUR SALIM QASOUR AL RASHDI</v>
          </cell>
        </row>
        <row r="2419">
          <cell r="A2419" t="str">
            <v>29/G0009</v>
          </cell>
          <cell r="B2419" t="str">
            <v>KHADIJA SAID ANEES BANI ARABA</v>
          </cell>
        </row>
        <row r="2420">
          <cell r="A2420" t="str">
            <v>29/G0010</v>
          </cell>
          <cell r="B2420" t="str">
            <v>SUAD JUMA SAID AL SINANI</v>
          </cell>
        </row>
        <row r="2421">
          <cell r="A2421" t="str">
            <v>29/G0011</v>
          </cell>
          <cell r="B2421" t="str">
            <v>AMNA NASSER ABDULLAH AL KHARUSI</v>
          </cell>
        </row>
        <row r="2422">
          <cell r="A2422" t="str">
            <v>29/G0012</v>
          </cell>
          <cell r="B2422" t="str">
            <v>SAFIYA YAHYA SULTAN AL SHEIBANI</v>
          </cell>
        </row>
        <row r="2423">
          <cell r="A2423" t="str">
            <v>29/G0013</v>
          </cell>
          <cell r="B2423" t="str">
            <v>FAHMI ABDULLAH MOHAMED AL JAHDHAMI</v>
          </cell>
        </row>
        <row r="2424">
          <cell r="A2424" t="str">
            <v>29/G0014</v>
          </cell>
          <cell r="B2424" t="str">
            <v>MANAL MOOSA ABDULLAH ALRAIIS</v>
          </cell>
        </row>
        <row r="2425">
          <cell r="A2425" t="str">
            <v>29/G0015</v>
          </cell>
          <cell r="B2425" t="str">
            <v>ALI MANSOOR NASSER AL SULAIMI</v>
          </cell>
        </row>
        <row r="2426">
          <cell r="A2426" t="str">
            <v>29/G0016</v>
          </cell>
          <cell r="B2426" t="str">
            <v>NAJEEB YAHYA ZIROK AL BALUSHI</v>
          </cell>
        </row>
        <row r="2427">
          <cell r="A2427" t="str">
            <v>29/G0017</v>
          </cell>
          <cell r="B2427" t="str">
            <v>NAJEEB YAHYA ZIROK AL BALUSHI</v>
          </cell>
        </row>
        <row r="2428">
          <cell r="A2428" t="str">
            <v>29/G0018</v>
          </cell>
          <cell r="B2428" t="str">
            <v>MUSTAFA ABDUL KHALIQ MOHAMED</v>
          </cell>
        </row>
        <row r="2429">
          <cell r="A2429" t="str">
            <v>29/G0019</v>
          </cell>
          <cell r="B2429" t="str">
            <v>BADAR SAID NASSER AL RASHDI</v>
          </cell>
        </row>
        <row r="2430">
          <cell r="A2430" t="str">
            <v>29/G0020</v>
          </cell>
          <cell r="B2430" t="str">
            <v>ABDUL MAJEED YAHYA SAIF AL RASHDI</v>
          </cell>
        </row>
        <row r="2431">
          <cell r="A2431" t="str">
            <v>29/G0021</v>
          </cell>
          <cell r="B2431" t="str">
            <v>MANSOOR NASSER HAMOOD AL DUGHAISHI</v>
          </cell>
        </row>
        <row r="2432">
          <cell r="A2432" t="str">
            <v>29/G0022</v>
          </cell>
          <cell r="B2432" t="str">
            <v>AMAN REIT</v>
          </cell>
        </row>
        <row r="2433">
          <cell r="A2433" t="str">
            <v>29/G0023</v>
          </cell>
          <cell r="B2433" t="str">
            <v>JUMA ABDULLAH BATI AL BALUSHI</v>
          </cell>
        </row>
        <row r="2434">
          <cell r="A2434" t="str">
            <v>29/G0024</v>
          </cell>
          <cell r="B2434" t="str">
            <v>MAHMOOD ABDALLAH BATI SAID AL BALUSHI</v>
          </cell>
        </row>
        <row r="2435">
          <cell r="A2435" t="str">
            <v>29/G0025</v>
          </cell>
          <cell r="B2435" t="str">
            <v>MAHFOODH SAIF SALIM AL AKHZAM</v>
          </cell>
        </row>
        <row r="2436">
          <cell r="A2436" t="str">
            <v>29/G0026</v>
          </cell>
          <cell r="B2436" t="str">
            <v>MAHFOODH SAIF SALIM</v>
          </cell>
        </row>
        <row r="2437">
          <cell r="A2437" t="str">
            <v>29/G0027</v>
          </cell>
          <cell r="B2437" t="str">
            <v>AISHA SAUD ABDULLAH ALKALBANI</v>
          </cell>
        </row>
        <row r="2438">
          <cell r="A2438" t="str">
            <v>29/G0028</v>
          </cell>
          <cell r="B2438" t="str">
            <v>AYOUB SAAD SAID AL MANDHARI</v>
          </cell>
        </row>
        <row r="2439">
          <cell r="A2439" t="str">
            <v>29/G0029</v>
          </cell>
          <cell r="B2439" t="str">
            <v>FATMA HAMED SAIF AL HOSNI</v>
          </cell>
        </row>
        <row r="2440">
          <cell r="A2440" t="str">
            <v>29/G0030</v>
          </cell>
          <cell r="B2440" t="str">
            <v>MABROUKA SAID THUNAI AL SIYABI</v>
          </cell>
        </row>
        <row r="2441">
          <cell r="A2441" t="str">
            <v>29/G0031</v>
          </cell>
          <cell r="B2441" t="str">
            <v>MOOSA SAID THUNAI AL SIYABI</v>
          </cell>
        </row>
        <row r="2442">
          <cell r="A2442" t="str">
            <v>29/G0032</v>
          </cell>
          <cell r="B2442" t="str">
            <v>AHMED SAID THUNI AL SIYABI</v>
          </cell>
        </row>
        <row r="2443">
          <cell r="A2443" t="str">
            <v>29/G0033</v>
          </cell>
          <cell r="B2443" t="str">
            <v>AZIZA SULTAN HAMED AL RASHDI</v>
          </cell>
        </row>
        <row r="2444">
          <cell r="A2444" t="str">
            <v>29/G0034</v>
          </cell>
          <cell r="B2444" t="str">
            <v>AMR MOHAMED AHMED MEBAREZ</v>
          </cell>
        </row>
        <row r="2445">
          <cell r="A2445" t="str">
            <v>29/G0035</v>
          </cell>
          <cell r="B2445" t="str">
            <v>BADAR ALI SAID AL SALHI</v>
          </cell>
        </row>
        <row r="2446">
          <cell r="A2446" t="str">
            <v>29/G0036</v>
          </cell>
          <cell r="B2446" t="str">
            <v>AHMED KHALIFA ABDULLAH AL NAAMANI</v>
          </cell>
        </row>
        <row r="2447">
          <cell r="A2447" t="str">
            <v>29/G0037</v>
          </cell>
          <cell r="B2447" t="str">
            <v>AMAN REIT</v>
          </cell>
        </row>
        <row r="2448">
          <cell r="A2448" t="str">
            <v>29/G0038</v>
          </cell>
          <cell r="B2448" t="str">
            <v>IBRAHIM MARHOON SALIM AL YAHYAI</v>
          </cell>
        </row>
        <row r="2449">
          <cell r="A2449" t="str">
            <v>29/G0039</v>
          </cell>
          <cell r="B2449" t="str">
            <v>Marwa Salim Abdulla Al Rahbi</v>
          </cell>
        </row>
        <row r="2450">
          <cell r="A2450" t="str">
            <v>29/G0040</v>
          </cell>
          <cell r="B2450" t="str">
            <v>JUMA MATTAR SALIM AL DHUHLI</v>
          </cell>
        </row>
        <row r="2451">
          <cell r="A2451" t="str">
            <v>29/G0041</v>
          </cell>
          <cell r="B2451" t="str">
            <v>ABDUL SALAM MOHAMED ABDULLA AL ZAKWANI</v>
          </cell>
        </row>
        <row r="2452">
          <cell r="A2452" t="str">
            <v>29/G0042</v>
          </cell>
          <cell r="B2452" t="str">
            <v>HASSAN MOHAMMED ALI AL AJMI</v>
          </cell>
        </row>
        <row r="2453">
          <cell r="A2453" t="str">
            <v>29/G0043</v>
          </cell>
          <cell r="B2453" t="str">
            <v>KHALID SAIF SULAIMAN AL NAKHILI</v>
          </cell>
        </row>
        <row r="2454">
          <cell r="A2454" t="str">
            <v>29/G0044</v>
          </cell>
          <cell r="B2454" t="str">
            <v>Saud Abdulla Mohammed Al Aghbari</v>
          </cell>
        </row>
        <row r="2455">
          <cell r="A2455" t="str">
            <v>29/G0045</v>
          </cell>
          <cell r="B2455" t="str">
            <v>MARYAM MOHAMMED AL BALUSHI</v>
          </cell>
        </row>
        <row r="2456">
          <cell r="A2456" t="str">
            <v>29/G0046</v>
          </cell>
          <cell r="B2456" t="str">
            <v>ABDUL MALIK ISHAQ AHMED AL BUSAIDI</v>
          </cell>
        </row>
        <row r="2457">
          <cell r="A2457" t="str">
            <v>29/G0047</v>
          </cell>
          <cell r="B2457" t="str">
            <v>ABDUL MALIK ISHAQ AHMED AL BUSAIDI</v>
          </cell>
        </row>
        <row r="2458">
          <cell r="A2458" t="str">
            <v>29/G0048</v>
          </cell>
          <cell r="B2458" t="str">
            <v>ABDUL MALIK ISHAQ AHMED AL BUSAIDI</v>
          </cell>
        </row>
        <row r="2459">
          <cell r="A2459" t="str">
            <v>29/G0049</v>
          </cell>
          <cell r="B2459" t="str">
            <v>ABDUL MALIK ISHAQ AHMED AL BUSAIDI</v>
          </cell>
        </row>
        <row r="2460">
          <cell r="A2460" t="str">
            <v>29/G0050</v>
          </cell>
          <cell r="B2460" t="str">
            <v>AMAN REIT</v>
          </cell>
        </row>
        <row r="2461">
          <cell r="A2461" t="str">
            <v>29/G0051</v>
          </cell>
          <cell r="B2461" t="str">
            <v>AMAN REIT</v>
          </cell>
        </row>
        <row r="2462">
          <cell r="A2462" t="str">
            <v>29/G0052</v>
          </cell>
          <cell r="B2462" t="str">
            <v>AMAN REIT</v>
          </cell>
        </row>
        <row r="2463">
          <cell r="A2463" t="str">
            <v>29/G0053</v>
          </cell>
          <cell r="B2463" t="str">
            <v>AMAN REIT</v>
          </cell>
        </row>
        <row r="2464">
          <cell r="A2464" t="str">
            <v>29/G0054</v>
          </cell>
          <cell r="B2464" t="str">
            <v>AMAN REIT</v>
          </cell>
        </row>
        <row r="2465">
          <cell r="A2465" t="str">
            <v>29/G0055</v>
          </cell>
          <cell r="B2465" t="str">
            <v>AMAN REIT</v>
          </cell>
        </row>
        <row r="2466">
          <cell r="A2466" t="str">
            <v>05/G0007</v>
          </cell>
          <cell r="B2466" t="str">
            <v>AMAN REIT</v>
          </cell>
        </row>
        <row r="2467">
          <cell r="A2467" t="str">
            <v>05/G0008</v>
          </cell>
          <cell r="B2467" t="str">
            <v>AMAN REIT</v>
          </cell>
        </row>
        <row r="2468">
          <cell r="A2468" t="str">
            <v>05/G0009</v>
          </cell>
          <cell r="B2468" t="str">
            <v>LUBAN DEVELOPMENT &amp; INVESTMENT LLC</v>
          </cell>
        </row>
        <row r="2469">
          <cell r="A2469" t="str">
            <v>05/G0010</v>
          </cell>
          <cell r="B2469" t="str">
            <v>LUBAN DEVELOPMENT &amp; INVESTMENT LLC</v>
          </cell>
        </row>
        <row r="2470">
          <cell r="A2470" t="str">
            <v>05/G0011</v>
          </cell>
          <cell r="B2470" t="str">
            <v>AMAN REIT</v>
          </cell>
        </row>
        <row r="2471">
          <cell r="A2471" t="str">
            <v>05/G0012</v>
          </cell>
          <cell r="B2471" t="str">
            <v>AMAN REIT</v>
          </cell>
        </row>
        <row r="2472">
          <cell r="A2472" t="str">
            <v>05/G0013</v>
          </cell>
          <cell r="B2472" t="str">
            <v>AMAN REIT</v>
          </cell>
        </row>
        <row r="2473">
          <cell r="A2473" t="str">
            <v>05/G0014</v>
          </cell>
          <cell r="B2473" t="str">
            <v>AMAN REIT</v>
          </cell>
        </row>
        <row r="2474">
          <cell r="A2474" t="str">
            <v>05/G0015</v>
          </cell>
          <cell r="B2474" t="str">
            <v>LUBAN DEVELOPMENT &amp; INVESTMENT LLC</v>
          </cell>
        </row>
        <row r="2475">
          <cell r="A2475" t="str">
            <v>05/G0016</v>
          </cell>
          <cell r="B2475" t="str">
            <v>LUBAN DEVELOPMENT &amp; INVESTMENT LLC</v>
          </cell>
        </row>
        <row r="2476">
          <cell r="A2476" t="str">
            <v>05/G0017</v>
          </cell>
          <cell r="B2476" t="str">
            <v>AMAN REIT</v>
          </cell>
        </row>
        <row r="2477">
          <cell r="A2477" t="str">
            <v>05/G0018</v>
          </cell>
          <cell r="B2477" t="str">
            <v>AMAN REIT</v>
          </cell>
        </row>
        <row r="2478">
          <cell r="A2478" t="str">
            <v>05/G0019</v>
          </cell>
          <cell r="B2478" t="str">
            <v>AMAN REIT</v>
          </cell>
        </row>
        <row r="2479">
          <cell r="A2479" t="str">
            <v>05/G0020</v>
          </cell>
          <cell r="B2479" t="str">
            <v>AMAN REIT</v>
          </cell>
        </row>
        <row r="2480">
          <cell r="A2480" t="str">
            <v>05/G0021</v>
          </cell>
          <cell r="B2480" t="str">
            <v>AMAN REIT</v>
          </cell>
        </row>
        <row r="2481">
          <cell r="A2481" t="str">
            <v>05/G0022</v>
          </cell>
          <cell r="B2481" t="str">
            <v>AMAN REIT</v>
          </cell>
        </row>
        <row r="2482">
          <cell r="A2482" t="str">
            <v>05/G0023</v>
          </cell>
          <cell r="B2482" t="str">
            <v>AMAN REIT</v>
          </cell>
        </row>
        <row r="2483">
          <cell r="A2483" t="str">
            <v>05/G0024</v>
          </cell>
          <cell r="B2483" t="str">
            <v>AMAN REIT</v>
          </cell>
        </row>
        <row r="2484">
          <cell r="A2484" t="str">
            <v>05/G0025</v>
          </cell>
          <cell r="B2484" t="str">
            <v>AMAN REIT</v>
          </cell>
        </row>
        <row r="2485">
          <cell r="A2485" t="str">
            <v>05/G0026</v>
          </cell>
          <cell r="B2485" t="str">
            <v>AMAN REIT</v>
          </cell>
        </row>
        <row r="2486">
          <cell r="A2486" t="str">
            <v>05/G0027</v>
          </cell>
          <cell r="B2486" t="str">
            <v>AMAN REIT</v>
          </cell>
        </row>
        <row r="2487">
          <cell r="A2487" t="str">
            <v>05/G0028</v>
          </cell>
          <cell r="B2487" t="str">
            <v>AMAN REIT</v>
          </cell>
        </row>
        <row r="2488">
          <cell r="A2488" t="str">
            <v>05/G0029</v>
          </cell>
          <cell r="B2488" t="str">
            <v>AMAN REIT</v>
          </cell>
        </row>
        <row r="2489">
          <cell r="A2489" t="str">
            <v>05/G0030</v>
          </cell>
          <cell r="B2489" t="str">
            <v>AMAN REIT</v>
          </cell>
        </row>
        <row r="2490">
          <cell r="A2490" t="str">
            <v>05/G0031</v>
          </cell>
          <cell r="B2490" t="str">
            <v>AMAN REIT</v>
          </cell>
        </row>
        <row r="2491">
          <cell r="A2491" t="str">
            <v>05/G0032</v>
          </cell>
          <cell r="B2491" t="str">
            <v>AMAN REIT</v>
          </cell>
        </row>
        <row r="2492">
          <cell r="A2492" t="str">
            <v>05/G0033</v>
          </cell>
          <cell r="B2492" t="str">
            <v>SIYABI BROTHERS</v>
          </cell>
        </row>
        <row r="2493">
          <cell r="A2493" t="str">
            <v>05/G0034</v>
          </cell>
          <cell r="B2493" t="str">
            <v>LUBAN DEVELOPMENT &amp; INVESTMENT LLC</v>
          </cell>
        </row>
        <row r="2494">
          <cell r="A2494" t="str">
            <v>05/G0035</v>
          </cell>
          <cell r="B2494" t="str">
            <v>AMAN REIT</v>
          </cell>
        </row>
        <row r="2495">
          <cell r="A2495" t="str">
            <v>05/G0036</v>
          </cell>
          <cell r="B2495" t="str">
            <v>AMAN REIT</v>
          </cell>
        </row>
        <row r="2496">
          <cell r="A2496" t="str">
            <v>05/G0037</v>
          </cell>
          <cell r="B2496" t="str">
            <v>AMAN REIT</v>
          </cell>
        </row>
        <row r="2497">
          <cell r="A2497" t="str">
            <v>05/G0038</v>
          </cell>
          <cell r="B2497" t="str">
            <v>AMAN REIT</v>
          </cell>
        </row>
        <row r="2498">
          <cell r="A2498" t="str">
            <v>05/G0039</v>
          </cell>
          <cell r="B2498" t="str">
            <v>SIYABI BROTHERS</v>
          </cell>
        </row>
        <row r="2499">
          <cell r="A2499" t="str">
            <v>05/G0040</v>
          </cell>
          <cell r="B2499" t="str">
            <v>SANDAN PARTNER</v>
          </cell>
        </row>
        <row r="2500">
          <cell r="A2500" t="str">
            <v>05/G0041</v>
          </cell>
          <cell r="B2500" t="str">
            <v>LUBAN DEVELOPMENT &amp; INVESTMENT LLC</v>
          </cell>
        </row>
        <row r="2501">
          <cell r="A2501" t="str">
            <v>05/G0042</v>
          </cell>
          <cell r="B2501" t="str">
            <v>LUBAN DEVELOPMENT &amp; INVESTMENT LLC</v>
          </cell>
        </row>
        <row r="2502">
          <cell r="A2502" t="str">
            <v>18/G0003</v>
          </cell>
          <cell r="B2502" t="str">
            <v>AMAN REIT</v>
          </cell>
        </row>
        <row r="2503">
          <cell r="A2503" t="str">
            <v>18/G0004</v>
          </cell>
          <cell r="B2503" t="str">
            <v>LUBAN DEVELOPMENT &amp; INVESTMENT LLC</v>
          </cell>
        </row>
        <row r="2504">
          <cell r="A2504" t="str">
            <v>18/G0005</v>
          </cell>
          <cell r="B2504" t="str">
            <v>BADER MOHAMMED SULAIMAN AL SIYABI</v>
          </cell>
        </row>
        <row r="2505">
          <cell r="A2505" t="str">
            <v>18/G0006</v>
          </cell>
          <cell r="B2505" t="str">
            <v>AMAN REIT</v>
          </cell>
        </row>
        <row r="2506">
          <cell r="A2506" t="str">
            <v>18/G0007</v>
          </cell>
          <cell r="B2506" t="str">
            <v>LUBAN DEVELOPMENT &amp; INVESTMENT LLC</v>
          </cell>
        </row>
        <row r="2507">
          <cell r="A2507" t="str">
            <v>18/G0008</v>
          </cell>
          <cell r="B2507" t="str">
            <v>LUBAN DEVELOPMENT &amp; INVESTMENT LLC</v>
          </cell>
        </row>
        <row r="2508">
          <cell r="A2508" t="str">
            <v>18/G0009</v>
          </cell>
          <cell r="B2508" t="str">
            <v>AMAN REIT</v>
          </cell>
        </row>
        <row r="2509">
          <cell r="A2509" t="str">
            <v>18/G0010</v>
          </cell>
          <cell r="B2509" t="str">
            <v>AMAN REIT</v>
          </cell>
        </row>
        <row r="2510">
          <cell r="A2510" t="str">
            <v>18/G0011</v>
          </cell>
          <cell r="B2510" t="str">
            <v>AMAN REIT</v>
          </cell>
        </row>
        <row r="2511">
          <cell r="A2511" t="str">
            <v>18/G0012</v>
          </cell>
          <cell r="B2511" t="str">
            <v>AMAN REIT</v>
          </cell>
        </row>
        <row r="2512">
          <cell r="A2512" t="str">
            <v>18/G0013</v>
          </cell>
          <cell r="B2512" t="str">
            <v>LUBAN DEVELOPMENT &amp; INVESTMENT LLC</v>
          </cell>
        </row>
        <row r="2513">
          <cell r="A2513" t="str">
            <v>18/G0014</v>
          </cell>
          <cell r="B2513" t="str">
            <v>LUBAN DEVELOPMENT &amp; INVESTMENT LLC</v>
          </cell>
        </row>
        <row r="2514">
          <cell r="A2514" t="str">
            <v>18/G0015</v>
          </cell>
          <cell r="B2514" t="str">
            <v>AMAN REIT</v>
          </cell>
        </row>
        <row r="2515">
          <cell r="A2515" t="str">
            <v>18/G0016</v>
          </cell>
          <cell r="B2515" t="str">
            <v>AMAN REIT</v>
          </cell>
        </row>
        <row r="2516">
          <cell r="A2516" t="str">
            <v>18/G0017</v>
          </cell>
          <cell r="B2516" t="str">
            <v>LUBAN DEVELOPMENT &amp; INVESTMENT LLC</v>
          </cell>
        </row>
        <row r="2517">
          <cell r="A2517" t="str">
            <v>18/G0018</v>
          </cell>
          <cell r="B2517" t="str">
            <v>AMAN REIT</v>
          </cell>
        </row>
        <row r="2518">
          <cell r="A2518" t="str">
            <v>18/G0019</v>
          </cell>
          <cell r="B2518" t="str">
            <v>AMAN REIT</v>
          </cell>
        </row>
        <row r="2519">
          <cell r="A2519" t="str">
            <v>18/G0020</v>
          </cell>
          <cell r="B2519" t="str">
            <v>AMAN REIT</v>
          </cell>
        </row>
        <row r="2520">
          <cell r="A2520" t="str">
            <v>18/G0021</v>
          </cell>
          <cell r="B2520" t="str">
            <v>AMAN REIT</v>
          </cell>
        </row>
        <row r="2521">
          <cell r="A2521" t="str">
            <v>18/G0022</v>
          </cell>
          <cell r="B2521" t="str">
            <v>AMAN REIT</v>
          </cell>
        </row>
        <row r="2522">
          <cell r="A2522" t="str">
            <v>18/G0023</v>
          </cell>
          <cell r="B2522" t="str">
            <v>AMAN REIT</v>
          </cell>
        </row>
        <row r="2523">
          <cell r="A2523" t="str">
            <v>18/G0024</v>
          </cell>
          <cell r="B2523" t="str">
            <v>AMAN REIT</v>
          </cell>
        </row>
        <row r="2524">
          <cell r="A2524" t="str">
            <v>18/G0025</v>
          </cell>
          <cell r="B2524" t="str">
            <v>AMAN REIT</v>
          </cell>
        </row>
        <row r="2525">
          <cell r="A2525" t="str">
            <v>18/G0026</v>
          </cell>
          <cell r="B2525" t="str">
            <v>AMAN REIT</v>
          </cell>
        </row>
        <row r="2526">
          <cell r="A2526" t="str">
            <v>18/G0027</v>
          </cell>
          <cell r="B2526" t="str">
            <v>AMAN REIT</v>
          </cell>
        </row>
        <row r="2527">
          <cell r="A2527" t="str">
            <v>18/G0028</v>
          </cell>
          <cell r="B2527" t="str">
            <v>AMAN REIT</v>
          </cell>
        </row>
        <row r="2528">
          <cell r="A2528" t="str">
            <v>18/G0029</v>
          </cell>
          <cell r="B2528" t="str">
            <v>AMAN REIT</v>
          </cell>
        </row>
        <row r="2529">
          <cell r="A2529" t="str">
            <v>18/G0030</v>
          </cell>
          <cell r="B2529" t="str">
            <v>AMAN REIT</v>
          </cell>
        </row>
        <row r="2530">
          <cell r="A2530" t="str">
            <v>18/G0031</v>
          </cell>
          <cell r="B2530" t="str">
            <v>OMANI LEBANESE COMPANY</v>
          </cell>
        </row>
        <row r="2531">
          <cell r="A2531" t="str">
            <v>18/G0032</v>
          </cell>
          <cell r="B2531" t="str">
            <v>AMAN REIT</v>
          </cell>
        </row>
        <row r="2532">
          <cell r="A2532" t="str">
            <v>25/G0004</v>
          </cell>
          <cell r="B2532" t="str">
            <v>SANDAN PARTNER</v>
          </cell>
        </row>
        <row r="2533">
          <cell r="A2533" t="str">
            <v>25/G0005</v>
          </cell>
          <cell r="B2533" t="str">
            <v>SANDAN PARTNER</v>
          </cell>
        </row>
        <row r="2534">
          <cell r="A2534" t="str">
            <v>06/G0101</v>
          </cell>
          <cell r="B2534" t="str">
            <v>AMAN REIT</v>
          </cell>
        </row>
        <row r="2535">
          <cell r="A2535" t="str">
            <v>25/G0006</v>
          </cell>
          <cell r="B2535" t="str">
            <v>SIYABI BROTHERS</v>
          </cell>
        </row>
        <row r="2536">
          <cell r="A2536" t="str">
            <v>25/G0007</v>
          </cell>
          <cell r="B2536" t="str">
            <v>SIYABI BROTHERS</v>
          </cell>
        </row>
        <row r="2537">
          <cell r="A2537" t="str">
            <v>07/G0095</v>
          </cell>
          <cell r="B2537" t="str">
            <v>AMAN REIT</v>
          </cell>
        </row>
        <row r="2538">
          <cell r="A2538" t="str">
            <v>17/G0021-S</v>
          </cell>
          <cell r="B2538" t="str">
            <v>SANDAN PARTNER</v>
          </cell>
        </row>
        <row r="2539">
          <cell r="A2539" t="str">
            <v>17/G0022-S</v>
          </cell>
          <cell r="B2539" t="str">
            <v>SANDAN PARTNER</v>
          </cell>
        </row>
        <row r="2540">
          <cell r="A2540" t="str">
            <v>06/M0017-S</v>
          </cell>
          <cell r="B2540" t="str">
            <v>SANDAN PARTNER</v>
          </cell>
        </row>
        <row r="2541">
          <cell r="A2541" t="str">
            <v>07/G0004-BS</v>
          </cell>
          <cell r="B2541" t="str">
            <v>SANDAN PARTNER</v>
          </cell>
        </row>
        <row r="2542">
          <cell r="A2542" t="str">
            <v>S-03</v>
          </cell>
          <cell r="B2542" t="str">
            <v>SIYABI BROTHERS</v>
          </cell>
        </row>
        <row r="2543">
          <cell r="A2543" t="str">
            <v>S-01</v>
          </cell>
          <cell r="B2543" t="str">
            <v>SANDAN PARTNER</v>
          </cell>
        </row>
        <row r="2544">
          <cell r="A2544" t="str">
            <v>SY-01</v>
          </cell>
          <cell r="B2544" t="str">
            <v>SIYABI BROTHERS</v>
          </cell>
        </row>
        <row r="2545">
          <cell r="A2545" t="str">
            <v>SY-02</v>
          </cell>
          <cell r="B2545" t="str">
            <v>SIYABI BROTHERS</v>
          </cell>
        </row>
        <row r="2546">
          <cell r="A2546" t="str">
            <v>SY-03</v>
          </cell>
          <cell r="B2546" t="str">
            <v>SANDAN PARTNER</v>
          </cell>
        </row>
        <row r="2547">
          <cell r="A2547" t="str">
            <v>AUCTION HALL</v>
          </cell>
          <cell r="B2547" t="str">
            <v>LUBAN DEVELOPMENT &amp; INVESTMENT LLC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714C-5757-4EF1-9077-DCF8F53C94B1}">
  <sheetPr>
    <pageSetUpPr fitToPage="1"/>
  </sheetPr>
  <dimension ref="A1:N137"/>
  <sheetViews>
    <sheetView tabSelected="1" zoomScaleNormal="100" workbookViewId="0">
      <selection activeCell="D3" sqref="D3"/>
    </sheetView>
  </sheetViews>
  <sheetFormatPr defaultColWidth="9.140625" defaultRowHeight="12" x14ac:dyDescent="0.2"/>
  <cols>
    <col min="1" max="1" width="9.140625" style="1"/>
    <col min="2" max="2" width="35.28515625" style="1" bestFit="1" customWidth="1"/>
    <col min="3" max="3" width="12.42578125" style="3" bestFit="1" customWidth="1"/>
    <col min="4" max="4" width="14.42578125" style="1" customWidth="1"/>
    <col min="5" max="5" width="14.42578125" style="2" customWidth="1"/>
    <col min="6" max="6" width="9.85546875" style="1" customWidth="1"/>
    <col min="7" max="7" width="17.7109375" style="1" bestFit="1" customWidth="1"/>
    <col min="8" max="8" width="10.7109375" style="1" bestFit="1" customWidth="1"/>
    <col min="9" max="9" width="10" style="1" customWidth="1"/>
    <col min="10" max="11" width="10.140625" style="1" customWidth="1"/>
    <col min="12" max="12" width="10.85546875" style="1" customWidth="1"/>
    <col min="13" max="13" width="9.7109375" style="1" bestFit="1" customWidth="1"/>
    <col min="14" max="14" width="14.28515625" style="1" customWidth="1"/>
    <col min="15" max="16384" width="9.140625" style="1"/>
  </cols>
  <sheetData>
    <row r="1" spans="1:14" ht="36" x14ac:dyDescent="0.2">
      <c r="A1" s="4" t="s">
        <v>0</v>
      </c>
      <c r="B1" s="4" t="s">
        <v>362</v>
      </c>
      <c r="C1" s="42" t="s">
        <v>358</v>
      </c>
      <c r="D1" s="5" t="s">
        <v>1</v>
      </c>
      <c r="E1" s="44" t="s">
        <v>359</v>
      </c>
      <c r="F1" s="4" t="s">
        <v>352</v>
      </c>
      <c r="G1" s="4" t="s">
        <v>353</v>
      </c>
      <c r="H1" s="4" t="s">
        <v>354</v>
      </c>
      <c r="I1" s="4" t="s">
        <v>355</v>
      </c>
      <c r="J1" s="4" t="s">
        <v>356</v>
      </c>
      <c r="K1" s="4" t="s">
        <v>210</v>
      </c>
      <c r="L1" s="4" t="s">
        <v>218</v>
      </c>
      <c r="M1" s="4" t="s">
        <v>357</v>
      </c>
      <c r="N1" s="4" t="s">
        <v>360</v>
      </c>
    </row>
    <row r="2" spans="1:14" x14ac:dyDescent="0.2">
      <c r="A2" s="6" t="s">
        <v>3</v>
      </c>
      <c r="B2" s="7" t="s">
        <v>361</v>
      </c>
      <c r="C2" s="43" t="s">
        <v>229</v>
      </c>
      <c r="D2" s="8">
        <v>98552063</v>
      </c>
      <c r="E2" s="45">
        <v>39.5</v>
      </c>
      <c r="F2" s="9">
        <v>100</v>
      </c>
      <c r="G2" s="46" t="s">
        <v>327</v>
      </c>
      <c r="H2" s="9">
        <v>21.6</v>
      </c>
      <c r="I2" s="9">
        <f t="shared" ref="I2:I33" si="0">F2*5%</f>
        <v>5</v>
      </c>
      <c r="J2" s="9"/>
      <c r="K2" s="9">
        <v>39.5</v>
      </c>
      <c r="L2" s="10"/>
      <c r="M2" s="11">
        <f t="shared" ref="M2:M33" si="1">F2-H2-I2-K2-J2-L2</f>
        <v>33.900000000000006</v>
      </c>
      <c r="N2" s="11">
        <f>E2-K2</f>
        <v>0</v>
      </c>
    </row>
    <row r="3" spans="1:14" x14ac:dyDescent="0.2">
      <c r="A3" s="6" t="s">
        <v>4</v>
      </c>
      <c r="B3" s="7" t="s">
        <v>363</v>
      </c>
      <c r="C3" s="43" t="s">
        <v>230</v>
      </c>
      <c r="D3" s="47">
        <v>97797137</v>
      </c>
      <c r="E3" s="45">
        <v>46.000000000000014</v>
      </c>
      <c r="F3" s="9">
        <v>120</v>
      </c>
      <c r="G3" s="46" t="s">
        <v>328</v>
      </c>
      <c r="H3" s="9"/>
      <c r="I3" s="9">
        <f t="shared" si="0"/>
        <v>6</v>
      </c>
      <c r="J3" s="9"/>
      <c r="K3" s="9">
        <v>114</v>
      </c>
      <c r="L3" s="10"/>
      <c r="M3" s="11">
        <f t="shared" si="1"/>
        <v>0</v>
      </c>
      <c r="N3" s="11">
        <f>E3-K3</f>
        <v>-67.999999999999986</v>
      </c>
    </row>
    <row r="4" spans="1:14" x14ac:dyDescent="0.2">
      <c r="A4" s="6" t="s">
        <v>5</v>
      </c>
      <c r="B4" s="7" t="s">
        <v>365</v>
      </c>
      <c r="C4" s="43">
        <v>92201203</v>
      </c>
      <c r="D4" s="8">
        <v>4444</v>
      </c>
      <c r="E4" s="45">
        <v>0</v>
      </c>
      <c r="F4" s="9">
        <v>70</v>
      </c>
      <c r="G4" s="46">
        <v>45505</v>
      </c>
      <c r="H4" s="9"/>
      <c r="I4" s="9">
        <f t="shared" si="0"/>
        <v>3.5</v>
      </c>
      <c r="J4" s="9"/>
      <c r="K4" s="9"/>
      <c r="L4" s="12"/>
      <c r="M4" s="11">
        <f t="shared" si="1"/>
        <v>66.5</v>
      </c>
      <c r="N4" s="11">
        <f t="shared" ref="N4:N66" si="2">E4-K4</f>
        <v>0</v>
      </c>
    </row>
    <row r="5" spans="1:14" x14ac:dyDescent="0.2">
      <c r="A5" s="6" t="s">
        <v>6</v>
      </c>
      <c r="B5" s="7" t="s">
        <v>366</v>
      </c>
      <c r="C5" s="43">
        <v>78622990</v>
      </c>
      <c r="D5" s="8">
        <v>4444</v>
      </c>
      <c r="E5" s="45">
        <v>66.099999999999994</v>
      </c>
      <c r="F5" s="9">
        <v>240</v>
      </c>
      <c r="G5" s="46" t="s">
        <v>329</v>
      </c>
      <c r="H5" s="9"/>
      <c r="I5" s="9">
        <f t="shared" si="0"/>
        <v>12</v>
      </c>
      <c r="J5" s="9"/>
      <c r="K5" s="9"/>
      <c r="L5" s="10"/>
      <c r="M5" s="11">
        <f t="shared" si="1"/>
        <v>228</v>
      </c>
      <c r="N5" s="11">
        <f>E5-K5</f>
        <v>66.099999999999994</v>
      </c>
    </row>
    <row r="6" spans="1:14" x14ac:dyDescent="0.2">
      <c r="A6" s="6" t="s">
        <v>7</v>
      </c>
      <c r="B6" s="7" t="str">
        <f>IFERROR(VLOOKUP(A6,'[1]Owners List'!$A$2:$B$2550,2,FALSE),"")</f>
        <v>ALI AL ABD HAMOOD AL SHIBANI</v>
      </c>
      <c r="C6" s="43" t="s">
        <v>231</v>
      </c>
      <c r="D6" s="8">
        <v>4444</v>
      </c>
      <c r="E6" s="45">
        <v>0</v>
      </c>
      <c r="F6" s="9">
        <v>120</v>
      </c>
      <c r="G6" s="46">
        <v>45474</v>
      </c>
      <c r="H6" s="9"/>
      <c r="I6" s="9">
        <f t="shared" si="0"/>
        <v>6</v>
      </c>
      <c r="J6" s="9"/>
      <c r="K6" s="9"/>
      <c r="L6" s="10"/>
      <c r="M6" s="11">
        <f t="shared" si="1"/>
        <v>114</v>
      </c>
      <c r="N6" s="11">
        <f t="shared" si="2"/>
        <v>0</v>
      </c>
    </row>
    <row r="7" spans="1:14" x14ac:dyDescent="0.2">
      <c r="A7" s="6" t="s">
        <v>8</v>
      </c>
      <c r="B7" s="7" t="str">
        <f>IFERROR(VLOOKUP(A7,'[1]Owners List'!$A$2:$B$2550,2,FALSE),"")</f>
        <v>RASHID FUADMOHAMED AL SUKAITI</v>
      </c>
      <c r="C7" s="43" t="s">
        <v>232</v>
      </c>
      <c r="D7" s="8">
        <v>4444</v>
      </c>
      <c r="E7" s="45">
        <v>0</v>
      </c>
      <c r="F7" s="9">
        <v>300</v>
      </c>
      <c r="G7" s="46" t="s">
        <v>328</v>
      </c>
      <c r="H7" s="9"/>
      <c r="I7" s="9">
        <f t="shared" si="0"/>
        <v>15</v>
      </c>
      <c r="J7" s="9"/>
      <c r="K7" s="9"/>
      <c r="L7" s="10"/>
      <c r="M7" s="11">
        <f t="shared" si="1"/>
        <v>285</v>
      </c>
      <c r="N7" s="11">
        <f t="shared" si="2"/>
        <v>0</v>
      </c>
    </row>
    <row r="8" spans="1:14" x14ac:dyDescent="0.2">
      <c r="A8" s="6" t="s">
        <v>9</v>
      </c>
      <c r="B8" s="7" t="str">
        <f>IFERROR(VLOOKUP(A8,'[1]Owners List'!$A$2:$B$2550,2,FALSE),"")</f>
        <v>RASHID FUADMOHAMED AL SUKAITI</v>
      </c>
      <c r="C8" s="43" t="s">
        <v>232</v>
      </c>
      <c r="D8" s="8">
        <v>4444</v>
      </c>
      <c r="E8" s="45">
        <v>0</v>
      </c>
      <c r="F8" s="9">
        <v>900</v>
      </c>
      <c r="G8" s="46" t="s">
        <v>330</v>
      </c>
      <c r="H8" s="9"/>
      <c r="I8" s="9">
        <f t="shared" si="0"/>
        <v>45</v>
      </c>
      <c r="J8" s="9"/>
      <c r="K8" s="9"/>
      <c r="L8" s="10"/>
      <c r="M8" s="11">
        <f t="shared" si="1"/>
        <v>855</v>
      </c>
      <c r="N8" s="11">
        <f t="shared" si="2"/>
        <v>0</v>
      </c>
    </row>
    <row r="9" spans="1:14" x14ac:dyDescent="0.2">
      <c r="A9" s="6" t="s">
        <v>10</v>
      </c>
      <c r="B9" s="7" t="str">
        <f>IFERROR(VLOOKUP(A9,'[1]Owners List'!$A$2:$B$2550,2,FALSE),"")</f>
        <v>MUSALLAM MOHAMED SALIM AL MAHRI</v>
      </c>
      <c r="C9" s="43" t="s">
        <v>233</v>
      </c>
      <c r="D9" s="8">
        <v>4444</v>
      </c>
      <c r="E9" s="45">
        <v>0</v>
      </c>
      <c r="F9" s="9">
        <v>70</v>
      </c>
      <c r="G9" s="46">
        <v>45505</v>
      </c>
      <c r="H9" s="9"/>
      <c r="I9" s="9">
        <f t="shared" si="0"/>
        <v>3.5</v>
      </c>
      <c r="J9" s="9"/>
      <c r="K9" s="9"/>
      <c r="L9" s="12"/>
      <c r="M9" s="11">
        <f t="shared" si="1"/>
        <v>66.5</v>
      </c>
      <c r="N9" s="11">
        <f t="shared" si="2"/>
        <v>0</v>
      </c>
    </row>
    <row r="10" spans="1:14" x14ac:dyDescent="0.2">
      <c r="A10" s="6" t="s">
        <v>11</v>
      </c>
      <c r="B10" s="7" t="str">
        <f>IFERROR(VLOOKUP(A10,'[1]Owners List'!$A$2:$B$2550,2,FALSE),"")</f>
        <v>Nakhal Ahlia Investment Company SOAC</v>
      </c>
      <c r="C10" s="43" t="s">
        <v>234</v>
      </c>
      <c r="D10" s="8">
        <v>4444</v>
      </c>
      <c r="E10" s="45">
        <v>62.1</v>
      </c>
      <c r="F10" s="9">
        <v>96</v>
      </c>
      <c r="G10" s="46" t="s">
        <v>331</v>
      </c>
      <c r="H10" s="9"/>
      <c r="I10" s="9">
        <f t="shared" si="0"/>
        <v>4.8000000000000007</v>
      </c>
      <c r="J10" s="9"/>
      <c r="K10" s="9"/>
      <c r="L10" s="4"/>
      <c r="M10" s="11">
        <f t="shared" si="1"/>
        <v>91.2</v>
      </c>
      <c r="N10" s="11">
        <f>E10-K10</f>
        <v>62.1</v>
      </c>
    </row>
    <row r="11" spans="1:14" x14ac:dyDescent="0.2">
      <c r="A11" s="6" t="s">
        <v>13</v>
      </c>
      <c r="B11" s="7" t="str">
        <f>IFERROR(VLOOKUP(A11,'[1]Owners List'!$A$2:$B$2550,2,FALSE),"")</f>
        <v>ISSA HAMED MOHAMMED AL AZRI</v>
      </c>
      <c r="C11" s="43" t="s">
        <v>235</v>
      </c>
      <c r="D11" s="8">
        <v>4444</v>
      </c>
      <c r="E11" s="45">
        <v>830.4</v>
      </c>
      <c r="F11" s="9">
        <v>500</v>
      </c>
      <c r="G11" s="46">
        <v>45505</v>
      </c>
      <c r="H11" s="9"/>
      <c r="I11" s="13">
        <f t="shared" si="0"/>
        <v>25</v>
      </c>
      <c r="J11" s="9"/>
      <c r="K11" s="9"/>
      <c r="L11" s="12"/>
      <c r="M11" s="13">
        <f t="shared" si="1"/>
        <v>475</v>
      </c>
      <c r="N11" s="11">
        <f t="shared" si="2"/>
        <v>830.4</v>
      </c>
    </row>
    <row r="12" spans="1:14" x14ac:dyDescent="0.2">
      <c r="A12" s="6" t="s">
        <v>14</v>
      </c>
      <c r="B12" s="7" t="str">
        <f>IFERROR(VLOOKUP(A12,'[1]Owners List'!$A$2:$B$2550,2,FALSE),"")</f>
        <v>AISHA AHMED MOHAMED ALHARTHI</v>
      </c>
      <c r="C12" s="43" t="s">
        <v>236</v>
      </c>
      <c r="D12" s="8">
        <v>4444</v>
      </c>
      <c r="E12" s="45">
        <v>0</v>
      </c>
      <c r="F12" s="9">
        <v>3200</v>
      </c>
      <c r="G12" s="46" t="s">
        <v>332</v>
      </c>
      <c r="H12" s="9"/>
      <c r="I12" s="13">
        <f t="shared" si="0"/>
        <v>160</v>
      </c>
      <c r="J12" s="9"/>
      <c r="K12" s="9"/>
      <c r="L12" s="12"/>
      <c r="M12" s="13">
        <f t="shared" si="1"/>
        <v>3040</v>
      </c>
      <c r="N12" s="11">
        <f t="shared" si="2"/>
        <v>0</v>
      </c>
    </row>
    <row r="13" spans="1:14" x14ac:dyDescent="0.2">
      <c r="A13" s="6" t="s">
        <v>16</v>
      </c>
      <c r="B13" s="7" t="str">
        <f>IFERROR(VLOOKUP(A13,'[1]Owners List'!$A$2:$B$2550,2,FALSE),"")</f>
        <v>SAID SALIM FIRUZ AL GHEFEILI</v>
      </c>
      <c r="C13" s="43" t="s">
        <v>237</v>
      </c>
      <c r="D13" s="8">
        <v>4444</v>
      </c>
      <c r="E13" s="45">
        <v>32.200000000000003</v>
      </c>
      <c r="F13" s="9">
        <v>100</v>
      </c>
      <c r="G13" s="46">
        <v>45474</v>
      </c>
      <c r="H13" s="9"/>
      <c r="I13" s="9">
        <f t="shared" si="0"/>
        <v>5</v>
      </c>
      <c r="J13" s="9"/>
      <c r="K13" s="9"/>
      <c r="L13" s="12"/>
      <c r="M13" s="11">
        <f t="shared" si="1"/>
        <v>95</v>
      </c>
      <c r="N13" s="11">
        <f t="shared" si="2"/>
        <v>32.200000000000003</v>
      </c>
    </row>
    <row r="14" spans="1:14" x14ac:dyDescent="0.2">
      <c r="A14" s="6" t="s">
        <v>17</v>
      </c>
      <c r="B14" s="7" t="str">
        <f>IFERROR(VLOOKUP(A14,'[1]Owners List'!$A$2:$B$2550,2,FALSE),"")</f>
        <v>MOHAMED SALEEM HAMED AL YAQOOBI</v>
      </c>
      <c r="C14" s="43" t="s">
        <v>238</v>
      </c>
      <c r="D14" s="8">
        <v>4444</v>
      </c>
      <c r="E14" s="45">
        <v>0</v>
      </c>
      <c r="F14" s="9">
        <v>60</v>
      </c>
      <c r="G14" s="46">
        <v>45413</v>
      </c>
      <c r="H14" s="9"/>
      <c r="I14" s="9">
        <f t="shared" si="0"/>
        <v>3</v>
      </c>
      <c r="J14" s="9"/>
      <c r="K14" s="9"/>
      <c r="L14" s="12"/>
      <c r="M14" s="11">
        <f t="shared" si="1"/>
        <v>57</v>
      </c>
      <c r="N14" s="11">
        <f t="shared" si="2"/>
        <v>0</v>
      </c>
    </row>
    <row r="15" spans="1:14" x14ac:dyDescent="0.2">
      <c r="A15" s="6" t="s">
        <v>18</v>
      </c>
      <c r="B15" s="7" t="str">
        <f>IFERROR(VLOOKUP(A15,'[1]Owners List'!$A$2:$B$2550,2,FALSE),"")</f>
        <v>FAIZA ALI YOUSUF AL BALUSHI</v>
      </c>
      <c r="C15" s="43" t="s">
        <v>239</v>
      </c>
      <c r="D15" s="8">
        <v>4444</v>
      </c>
      <c r="E15" s="45">
        <v>0</v>
      </c>
      <c r="F15" s="9">
        <v>70</v>
      </c>
      <c r="G15" s="46">
        <v>45444</v>
      </c>
      <c r="H15" s="9"/>
      <c r="I15" s="9">
        <f t="shared" si="0"/>
        <v>3.5</v>
      </c>
      <c r="J15" s="9"/>
      <c r="K15" s="9"/>
      <c r="L15" s="12">
        <v>8</v>
      </c>
      <c r="M15" s="11">
        <f t="shared" si="1"/>
        <v>58.5</v>
      </c>
      <c r="N15" s="11">
        <f t="shared" si="2"/>
        <v>0</v>
      </c>
    </row>
    <row r="16" spans="1:14" x14ac:dyDescent="0.2">
      <c r="A16" s="6" t="s">
        <v>19</v>
      </c>
      <c r="B16" s="7" t="str">
        <f>IFERROR(VLOOKUP(A16,'[1]Owners List'!$A$2:$B$2550,2,FALSE),"")</f>
        <v>Nakhal Ahlia Investment Company SOAC</v>
      </c>
      <c r="C16" s="43" t="s">
        <v>234</v>
      </c>
      <c r="D16" s="8">
        <v>4444</v>
      </c>
      <c r="E16" s="45">
        <v>243.7</v>
      </c>
      <c r="F16" s="9">
        <v>175</v>
      </c>
      <c r="G16" s="46">
        <v>45528</v>
      </c>
      <c r="H16" s="9"/>
      <c r="I16" s="9">
        <f t="shared" si="0"/>
        <v>8.75</v>
      </c>
      <c r="J16" s="9"/>
      <c r="K16" s="9"/>
      <c r="L16" s="5"/>
      <c r="M16" s="11">
        <f t="shared" si="1"/>
        <v>166.25</v>
      </c>
      <c r="N16" s="11">
        <f t="shared" si="2"/>
        <v>243.7</v>
      </c>
    </row>
    <row r="17" spans="1:14" x14ac:dyDescent="0.2">
      <c r="A17" s="6" t="s">
        <v>20</v>
      </c>
      <c r="B17" s="7" t="str">
        <f>IFERROR(VLOOKUP(A17,'[1]Owners List'!$A$2:$B$2550,2,FALSE),"")</f>
        <v>Nakhal Ahlia Investment Company SOAC</v>
      </c>
      <c r="C17" s="43" t="s">
        <v>234</v>
      </c>
      <c r="D17" s="8">
        <v>4444</v>
      </c>
      <c r="E17" s="45">
        <v>229.9</v>
      </c>
      <c r="F17" s="9">
        <v>175</v>
      </c>
      <c r="G17" s="46">
        <v>45528</v>
      </c>
      <c r="H17" s="9"/>
      <c r="I17" s="9">
        <f t="shared" si="0"/>
        <v>8.75</v>
      </c>
      <c r="J17" s="9"/>
      <c r="K17" s="9"/>
      <c r="L17" s="5"/>
      <c r="M17" s="11">
        <f t="shared" si="1"/>
        <v>166.25</v>
      </c>
      <c r="N17" s="11">
        <f t="shared" si="2"/>
        <v>229.9</v>
      </c>
    </row>
    <row r="18" spans="1:14" x14ac:dyDescent="0.2">
      <c r="A18" s="6" t="s">
        <v>21</v>
      </c>
      <c r="B18" s="7" t="str">
        <f>IFERROR(VLOOKUP(A18,'[1]Owners List'!$A$2:$B$2550,2,FALSE),"")</f>
        <v>OMAR SAIF SAID AL MAMARI</v>
      </c>
      <c r="C18" s="43" t="s">
        <v>240</v>
      </c>
      <c r="D18" s="8">
        <v>4444</v>
      </c>
      <c r="E18" s="45">
        <v>631.29999999999995</v>
      </c>
      <c r="F18" s="9">
        <v>130</v>
      </c>
      <c r="G18" s="46">
        <v>45474</v>
      </c>
      <c r="H18" s="9"/>
      <c r="I18" s="9">
        <f t="shared" si="0"/>
        <v>6.5</v>
      </c>
      <c r="J18" s="9"/>
      <c r="K18" s="9">
        <v>123.5</v>
      </c>
      <c r="L18" s="7"/>
      <c r="M18" s="11">
        <f t="shared" si="1"/>
        <v>0</v>
      </c>
      <c r="N18" s="11">
        <f t="shared" si="2"/>
        <v>507.79999999999995</v>
      </c>
    </row>
    <row r="19" spans="1:14" x14ac:dyDescent="0.2">
      <c r="A19" s="6" t="s">
        <v>22</v>
      </c>
      <c r="B19" s="7" t="str">
        <f>IFERROR(VLOOKUP(A19,'[1]Owners List'!$A$2:$B$2550,2,FALSE),"")</f>
        <v>SALAH ABDULLA HAMOOD AL KINDI</v>
      </c>
      <c r="C19" s="43" t="s">
        <v>241</v>
      </c>
      <c r="D19" s="8">
        <v>4444</v>
      </c>
      <c r="E19" s="45">
        <v>293.3</v>
      </c>
      <c r="F19" s="9">
        <v>250</v>
      </c>
      <c r="G19" s="46" t="s">
        <v>333</v>
      </c>
      <c r="H19" s="9"/>
      <c r="I19" s="9">
        <f t="shared" si="0"/>
        <v>12.5</v>
      </c>
      <c r="J19" s="9"/>
      <c r="K19" s="9">
        <v>28.75</v>
      </c>
      <c r="L19" s="9"/>
      <c r="M19" s="11">
        <f t="shared" si="1"/>
        <v>208.75</v>
      </c>
      <c r="N19" s="11">
        <f t="shared" si="2"/>
        <v>264.55</v>
      </c>
    </row>
    <row r="20" spans="1:14" x14ac:dyDescent="0.2">
      <c r="A20" s="6" t="s">
        <v>23</v>
      </c>
      <c r="B20" s="7" t="str">
        <f>IFERROR(VLOOKUP(A20,'[1]Owners List'!$A$2:$B$2550,2,FALSE),"")</f>
        <v>SALAH ABDULLA HAMOOD AL KINDI</v>
      </c>
      <c r="C20" s="43" t="s">
        <v>241</v>
      </c>
      <c r="D20" s="8">
        <v>4444</v>
      </c>
      <c r="E20" s="45">
        <v>293.3</v>
      </c>
      <c r="F20" s="9">
        <v>250</v>
      </c>
      <c r="G20" s="46" t="s">
        <v>333</v>
      </c>
      <c r="H20" s="9"/>
      <c r="I20" s="9">
        <f t="shared" si="0"/>
        <v>12.5</v>
      </c>
      <c r="J20" s="9"/>
      <c r="K20" s="9">
        <v>28.75</v>
      </c>
      <c r="L20" s="9"/>
      <c r="M20" s="11">
        <f t="shared" si="1"/>
        <v>208.75</v>
      </c>
      <c r="N20" s="11">
        <f t="shared" si="2"/>
        <v>264.55</v>
      </c>
    </row>
    <row r="21" spans="1:14" x14ac:dyDescent="0.2">
      <c r="A21" s="6" t="s">
        <v>24</v>
      </c>
      <c r="B21" s="7" t="str">
        <f>IFERROR(VLOOKUP(A21,'[1]Owners List'!$A$2:$B$2550,2,FALSE),"")</f>
        <v>IBRAHIM SAIF MALIK AL KINDI</v>
      </c>
      <c r="C21" s="43" t="s">
        <v>242</v>
      </c>
      <c r="D21" s="8">
        <v>4444</v>
      </c>
      <c r="E21" s="45">
        <v>0</v>
      </c>
      <c r="F21" s="9">
        <v>220</v>
      </c>
      <c r="G21" s="46" t="s">
        <v>334</v>
      </c>
      <c r="H21" s="9"/>
      <c r="I21" s="9">
        <f t="shared" si="0"/>
        <v>11</v>
      </c>
      <c r="J21" s="9"/>
      <c r="K21" s="9"/>
      <c r="L21" s="9"/>
      <c r="M21" s="11">
        <f t="shared" si="1"/>
        <v>209</v>
      </c>
      <c r="N21" s="11">
        <f t="shared" si="2"/>
        <v>0</v>
      </c>
    </row>
    <row r="22" spans="1:14" x14ac:dyDescent="0.2">
      <c r="A22" s="6" t="s">
        <v>25</v>
      </c>
      <c r="B22" s="7" t="str">
        <f>IFERROR(VLOOKUP(A22,'[1]Owners List'!$A$2:$B$2550,2,FALSE),"")</f>
        <v>RASHID FUADMOHAMED AL SUKAITI</v>
      </c>
      <c r="C22" s="43" t="s">
        <v>232</v>
      </c>
      <c r="D22" s="8">
        <v>4444</v>
      </c>
      <c r="E22" s="45">
        <v>0</v>
      </c>
      <c r="F22" s="14">
        <v>200</v>
      </c>
      <c r="G22" s="46">
        <v>45528</v>
      </c>
      <c r="H22" s="9"/>
      <c r="I22" s="9">
        <f t="shared" si="0"/>
        <v>10</v>
      </c>
      <c r="J22" s="9"/>
      <c r="K22" s="9"/>
      <c r="L22" s="7"/>
      <c r="M22" s="11">
        <f t="shared" si="1"/>
        <v>190</v>
      </c>
      <c r="N22" s="11">
        <f t="shared" si="2"/>
        <v>0</v>
      </c>
    </row>
    <row r="23" spans="1:14" x14ac:dyDescent="0.2">
      <c r="A23" s="6" t="s">
        <v>26</v>
      </c>
      <c r="B23" s="7" t="str">
        <f>IFERROR(VLOOKUP(A23,'[1]Owners List'!$A$2:$B$2550,2,FALSE),"")</f>
        <v>MASOUD MOHAMED MASOUD AL RIYAMI</v>
      </c>
      <c r="C23" s="43" t="s">
        <v>243</v>
      </c>
      <c r="D23" s="8">
        <v>4444</v>
      </c>
      <c r="E23" s="45">
        <v>0</v>
      </c>
      <c r="F23" s="9">
        <v>440</v>
      </c>
      <c r="G23" s="46" t="s">
        <v>335</v>
      </c>
      <c r="H23" s="9"/>
      <c r="I23" s="9">
        <f t="shared" si="0"/>
        <v>22</v>
      </c>
      <c r="J23" s="9">
        <v>39.6</v>
      </c>
      <c r="K23" s="9"/>
      <c r="L23" s="7"/>
      <c r="M23" s="11">
        <f t="shared" si="1"/>
        <v>378.4</v>
      </c>
      <c r="N23" s="11">
        <f t="shared" si="2"/>
        <v>0</v>
      </c>
    </row>
    <row r="24" spans="1:14" x14ac:dyDescent="0.2">
      <c r="A24" s="6" t="s">
        <v>27</v>
      </c>
      <c r="B24" s="7" t="str">
        <f>IFERROR(VLOOKUP(A24,'[1]Owners List'!$A$2:$B$2550,2,FALSE),"")</f>
        <v>SAUD MANSOOR MOHAMED AL MAZOOEI</v>
      </c>
      <c r="C24" s="43" t="s">
        <v>244</v>
      </c>
      <c r="D24" s="8">
        <v>4444</v>
      </c>
      <c r="E24" s="45">
        <v>0</v>
      </c>
      <c r="F24" s="9">
        <v>120</v>
      </c>
      <c r="G24" s="46" t="s">
        <v>333</v>
      </c>
      <c r="H24" s="9"/>
      <c r="I24" s="9">
        <f t="shared" si="0"/>
        <v>6</v>
      </c>
      <c r="J24" s="9"/>
      <c r="K24" s="9"/>
      <c r="L24" s="7"/>
      <c r="M24" s="11">
        <f t="shared" si="1"/>
        <v>114</v>
      </c>
      <c r="N24" s="11">
        <f t="shared" si="2"/>
        <v>0</v>
      </c>
    </row>
    <row r="25" spans="1:14" x14ac:dyDescent="0.2">
      <c r="A25" s="6" t="s">
        <v>28</v>
      </c>
      <c r="B25" s="7" t="str">
        <f>IFERROR(VLOOKUP(A25,'[1]Owners List'!$A$2:$B$2550,2,FALSE),"")</f>
        <v>SAUD MANSOOR MOHAMED AL MAZOOEI</v>
      </c>
      <c r="C25" s="43" t="s">
        <v>244</v>
      </c>
      <c r="D25" s="8">
        <v>4444</v>
      </c>
      <c r="E25" s="45">
        <v>32.799999999999997</v>
      </c>
      <c r="F25" s="9">
        <v>70</v>
      </c>
      <c r="G25" s="46">
        <v>45505</v>
      </c>
      <c r="H25" s="9">
        <v>25.2</v>
      </c>
      <c r="I25" s="9">
        <f t="shared" si="0"/>
        <v>3.5</v>
      </c>
      <c r="J25" s="9">
        <v>0.2</v>
      </c>
      <c r="K25" s="9">
        <v>32.799999999999997</v>
      </c>
      <c r="L25" s="7"/>
      <c r="M25" s="11">
        <f t="shared" si="1"/>
        <v>8.3000000000000007</v>
      </c>
      <c r="N25" s="11">
        <f t="shared" si="2"/>
        <v>0</v>
      </c>
    </row>
    <row r="26" spans="1:14" x14ac:dyDescent="0.2">
      <c r="A26" s="6" t="s">
        <v>29</v>
      </c>
      <c r="B26" s="7" t="str">
        <f>IFERROR(VLOOKUP(A26,'[1]Owners List'!$A$2:$B$2550,2,FALSE),"")</f>
        <v>ABDULLATIF ABDULHAMID YAHYA AL KINDI</v>
      </c>
      <c r="C26" s="43" t="s">
        <v>245</v>
      </c>
      <c r="D26" s="8">
        <v>4444</v>
      </c>
      <c r="E26" s="45">
        <v>82.6</v>
      </c>
      <c r="F26" s="9">
        <v>70</v>
      </c>
      <c r="G26" s="46">
        <v>45505</v>
      </c>
      <c r="H26" s="9"/>
      <c r="I26" s="9">
        <f t="shared" si="0"/>
        <v>3.5</v>
      </c>
      <c r="J26" s="9"/>
      <c r="K26" s="9">
        <v>66.5</v>
      </c>
      <c r="L26" s="7"/>
      <c r="M26" s="11">
        <f t="shared" si="1"/>
        <v>0</v>
      </c>
      <c r="N26" s="11">
        <f t="shared" si="2"/>
        <v>16.099999999999994</v>
      </c>
    </row>
    <row r="27" spans="1:14" x14ac:dyDescent="0.2">
      <c r="A27" s="6" t="s">
        <v>30</v>
      </c>
      <c r="B27" s="7" t="str">
        <f>IFERROR(VLOOKUP(A27,'[1]Owners List'!$A$2:$B$2550,2,FALSE),"")</f>
        <v>ABDULLATIF ABDULHAMID YAHYA AL KINDI</v>
      </c>
      <c r="C27" s="43" t="s">
        <v>245</v>
      </c>
      <c r="D27" s="8">
        <v>4444</v>
      </c>
      <c r="E27" s="45">
        <v>117.508</v>
      </c>
      <c r="F27" s="9">
        <v>140</v>
      </c>
      <c r="G27" s="46" t="s">
        <v>333</v>
      </c>
      <c r="H27" s="9"/>
      <c r="I27" s="9">
        <f t="shared" si="0"/>
        <v>7</v>
      </c>
      <c r="J27" s="9"/>
      <c r="K27" s="9">
        <v>117.508</v>
      </c>
      <c r="L27" s="7"/>
      <c r="M27" s="11">
        <f t="shared" si="1"/>
        <v>15.492000000000004</v>
      </c>
      <c r="N27" s="11">
        <f t="shared" si="2"/>
        <v>0</v>
      </c>
    </row>
    <row r="28" spans="1:14" x14ac:dyDescent="0.2">
      <c r="A28" s="6" t="s">
        <v>31</v>
      </c>
      <c r="B28" s="7" t="str">
        <f>IFERROR(VLOOKUP(A28,'[1]Owners List'!$A$2:$B$2550,2,FALSE),"")</f>
        <v>ABDULLATIF ABDULHAMID YAHYA AL KINDI</v>
      </c>
      <c r="C28" s="43" t="s">
        <v>245</v>
      </c>
      <c r="D28" s="8">
        <v>4444</v>
      </c>
      <c r="E28" s="45">
        <v>69.2</v>
      </c>
      <c r="F28" s="9">
        <v>210</v>
      </c>
      <c r="G28" s="46" t="s">
        <v>336</v>
      </c>
      <c r="H28" s="9">
        <v>25.2</v>
      </c>
      <c r="I28" s="9">
        <f t="shared" si="0"/>
        <v>10.5</v>
      </c>
      <c r="J28" s="9"/>
      <c r="K28" s="9">
        <v>69.2</v>
      </c>
      <c r="L28" s="9"/>
      <c r="M28" s="11">
        <f t="shared" si="1"/>
        <v>105.10000000000001</v>
      </c>
      <c r="N28" s="11">
        <f t="shared" si="2"/>
        <v>0</v>
      </c>
    </row>
    <row r="29" spans="1:14" x14ac:dyDescent="0.2">
      <c r="A29" s="6" t="s">
        <v>32</v>
      </c>
      <c r="B29" s="7" t="str">
        <f>IFERROR(VLOOKUP(A29,'[1]Owners List'!$A$2:$B$2550,2,FALSE),"")</f>
        <v>AMUR MOHAMMED SALIM AL MUSALLAMI</v>
      </c>
      <c r="C29" s="43" t="s">
        <v>246</v>
      </c>
      <c r="D29" s="8">
        <v>4444</v>
      </c>
      <c r="E29" s="45">
        <v>0</v>
      </c>
      <c r="F29" s="9">
        <v>75</v>
      </c>
      <c r="G29" s="46">
        <v>45444</v>
      </c>
      <c r="H29" s="9"/>
      <c r="I29" s="9">
        <f t="shared" si="0"/>
        <v>3.75</v>
      </c>
      <c r="J29" s="9"/>
      <c r="K29" s="9"/>
      <c r="L29" s="7"/>
      <c r="M29" s="11">
        <f t="shared" si="1"/>
        <v>71.25</v>
      </c>
      <c r="N29" s="11">
        <f t="shared" si="2"/>
        <v>0</v>
      </c>
    </row>
    <row r="30" spans="1:14" x14ac:dyDescent="0.2">
      <c r="A30" s="6" t="s">
        <v>33</v>
      </c>
      <c r="B30" s="7" t="str">
        <f>IFERROR(VLOOKUP(A30,'[1]Owners List'!$A$2:$B$2550,2,FALSE),"")</f>
        <v>SULTAN ALI SULAIMAN AL RUMHI</v>
      </c>
      <c r="C30" s="43" t="s">
        <v>247</v>
      </c>
      <c r="D30" s="8">
        <v>4444</v>
      </c>
      <c r="E30" s="45">
        <v>0</v>
      </c>
      <c r="F30" s="9">
        <v>70</v>
      </c>
      <c r="G30" s="46">
        <v>45474</v>
      </c>
      <c r="H30" s="9"/>
      <c r="I30" s="9">
        <f t="shared" si="0"/>
        <v>3.5</v>
      </c>
      <c r="J30" s="9"/>
      <c r="K30" s="9"/>
      <c r="L30" s="7"/>
      <c r="M30" s="11">
        <f t="shared" si="1"/>
        <v>66.5</v>
      </c>
      <c r="N30" s="11">
        <f t="shared" si="2"/>
        <v>0</v>
      </c>
    </row>
    <row r="31" spans="1:14" x14ac:dyDescent="0.2">
      <c r="A31" s="6" t="s">
        <v>34</v>
      </c>
      <c r="B31" s="7" t="str">
        <f>IFERROR(VLOOKUP(A31,'[1]Owners List'!$A$2:$B$2550,2,FALSE),"")</f>
        <v>Nasser Khamis Saleh Al Harthy</v>
      </c>
      <c r="C31" s="43" t="s">
        <v>248</v>
      </c>
      <c r="D31" s="8">
        <v>4444</v>
      </c>
      <c r="E31" s="45">
        <v>0</v>
      </c>
      <c r="F31" s="9">
        <v>60</v>
      </c>
      <c r="G31" s="46">
        <v>45474</v>
      </c>
      <c r="H31" s="9"/>
      <c r="I31" s="9">
        <f t="shared" si="0"/>
        <v>3</v>
      </c>
      <c r="J31" s="9"/>
      <c r="K31" s="9"/>
      <c r="L31" s="9"/>
      <c r="M31" s="11">
        <f t="shared" si="1"/>
        <v>57</v>
      </c>
      <c r="N31" s="11">
        <f t="shared" si="2"/>
        <v>0</v>
      </c>
    </row>
    <row r="32" spans="1:14" x14ac:dyDescent="0.2">
      <c r="A32" s="6" t="s">
        <v>35</v>
      </c>
      <c r="B32" s="7" t="s">
        <v>364</v>
      </c>
      <c r="C32" s="43" t="s">
        <v>249</v>
      </c>
      <c r="D32" s="8">
        <v>4444</v>
      </c>
      <c r="E32" s="45">
        <v>0</v>
      </c>
      <c r="F32" s="9">
        <v>60</v>
      </c>
      <c r="G32" s="46">
        <v>45505</v>
      </c>
      <c r="H32" s="9"/>
      <c r="I32" s="9">
        <f t="shared" si="0"/>
        <v>3</v>
      </c>
      <c r="J32" s="9"/>
      <c r="K32" s="9"/>
      <c r="L32" s="9"/>
      <c r="M32" s="11">
        <f t="shared" si="1"/>
        <v>57</v>
      </c>
      <c r="N32" s="11">
        <f t="shared" si="2"/>
        <v>0</v>
      </c>
    </row>
    <row r="33" spans="1:14" x14ac:dyDescent="0.2">
      <c r="A33" s="6" t="s">
        <v>36</v>
      </c>
      <c r="B33" s="7" t="str">
        <f>IFERROR(VLOOKUP(A33,'[1]Owners List'!$A$2:$B$2550,2,FALSE),"")</f>
        <v>MAQBOUL ABDULLHOUSIN MOHAMMED AL AJMI</v>
      </c>
      <c r="C33" s="43" t="s">
        <v>250</v>
      </c>
      <c r="D33" s="8">
        <v>4444</v>
      </c>
      <c r="E33" s="45">
        <v>0</v>
      </c>
      <c r="F33" s="9">
        <v>300</v>
      </c>
      <c r="G33" s="46" t="s">
        <v>333</v>
      </c>
      <c r="H33" s="9"/>
      <c r="I33" s="9">
        <f t="shared" si="0"/>
        <v>15</v>
      </c>
      <c r="J33" s="9"/>
      <c r="K33" s="9"/>
      <c r="L33" s="7"/>
      <c r="M33" s="11">
        <f t="shared" si="1"/>
        <v>285</v>
      </c>
      <c r="N33" s="11">
        <f t="shared" si="2"/>
        <v>0</v>
      </c>
    </row>
    <row r="34" spans="1:14" x14ac:dyDescent="0.2">
      <c r="A34" s="6" t="s">
        <v>37</v>
      </c>
      <c r="B34" s="7" t="str">
        <f>IFERROR(VLOOKUP(A34,'[1]Owners List'!$A$2:$B$2550,2,FALSE),"")</f>
        <v>AOWN ABBAS ABDULLAH AL BAHRANI</v>
      </c>
      <c r="C34" s="43" t="s">
        <v>251</v>
      </c>
      <c r="D34" s="8">
        <v>4444</v>
      </c>
      <c r="E34" s="45">
        <v>0</v>
      </c>
      <c r="F34" s="9">
        <v>170</v>
      </c>
      <c r="G34" s="46">
        <v>45352</v>
      </c>
      <c r="H34" s="9"/>
      <c r="I34" s="9">
        <f t="shared" ref="I34:I65" si="3">F34*5%</f>
        <v>8.5</v>
      </c>
      <c r="J34" s="9"/>
      <c r="K34" s="9"/>
      <c r="L34" s="9"/>
      <c r="M34" s="11">
        <f t="shared" ref="M34:M65" si="4">F34-H34-I34-K34-J34-L34</f>
        <v>161.5</v>
      </c>
      <c r="N34" s="11">
        <f t="shared" si="2"/>
        <v>0</v>
      </c>
    </row>
    <row r="35" spans="1:14" x14ac:dyDescent="0.2">
      <c r="A35" s="6" t="s">
        <v>38</v>
      </c>
      <c r="B35" s="7" t="str">
        <f>IFERROR(VLOOKUP(A35,'[1]Owners List'!$A$2:$B$2550,2,FALSE),"")</f>
        <v>OTHMAN KHAMIS SAID AL MAJAALI</v>
      </c>
      <c r="C35" s="43" t="s">
        <v>252</v>
      </c>
      <c r="D35" s="8" t="s">
        <v>39</v>
      </c>
      <c r="E35" s="45">
        <v>408</v>
      </c>
      <c r="F35" s="9">
        <v>190</v>
      </c>
      <c r="G35" s="46">
        <v>45505</v>
      </c>
      <c r="H35" s="9"/>
      <c r="I35" s="9">
        <f t="shared" si="3"/>
        <v>9.5</v>
      </c>
      <c r="J35" s="9"/>
      <c r="K35" s="9">
        <v>50</v>
      </c>
      <c r="L35" s="7"/>
      <c r="M35" s="11">
        <f t="shared" si="4"/>
        <v>130.5</v>
      </c>
      <c r="N35" s="11">
        <f t="shared" si="2"/>
        <v>358</v>
      </c>
    </row>
    <row r="36" spans="1:14" x14ac:dyDescent="0.2">
      <c r="A36" s="6" t="s">
        <v>40</v>
      </c>
      <c r="B36" s="7" t="str">
        <f>IFERROR(VLOOKUP(A36,'[1]Owners List'!$A$2:$B$2550,2,FALSE),"")</f>
        <v>FATHIYA MAHFOODH YAQOOB AL NAABI</v>
      </c>
      <c r="C36" s="43" t="s">
        <v>253</v>
      </c>
      <c r="D36" s="8" t="s">
        <v>41</v>
      </c>
      <c r="E36" s="45">
        <v>0</v>
      </c>
      <c r="F36" s="9">
        <v>100</v>
      </c>
      <c r="G36" s="46">
        <v>45528</v>
      </c>
      <c r="H36" s="9"/>
      <c r="I36" s="9">
        <f t="shared" si="3"/>
        <v>5</v>
      </c>
      <c r="J36" s="9"/>
      <c r="K36" s="9"/>
      <c r="L36" s="7"/>
      <c r="M36" s="11">
        <f t="shared" si="4"/>
        <v>95</v>
      </c>
      <c r="N36" s="11">
        <f t="shared" si="2"/>
        <v>0</v>
      </c>
    </row>
    <row r="37" spans="1:14" x14ac:dyDescent="0.2">
      <c r="A37" s="6" t="s">
        <v>42</v>
      </c>
      <c r="B37" s="7" t="str">
        <f>IFERROR(VLOOKUP(A37,'[1]Owners List'!$A$2:$B$2550,2,FALSE),"")</f>
        <v>AZZA MATER MOHAMED AL WAHAIBI</v>
      </c>
      <c r="C37" s="43" t="s">
        <v>254</v>
      </c>
      <c r="D37" s="8" t="s">
        <v>43</v>
      </c>
      <c r="E37" s="45">
        <v>0</v>
      </c>
      <c r="F37" s="9">
        <v>70</v>
      </c>
      <c r="G37" s="46">
        <v>45528</v>
      </c>
      <c r="H37" s="9"/>
      <c r="I37" s="9">
        <f t="shared" si="3"/>
        <v>3.5</v>
      </c>
      <c r="J37" s="9"/>
      <c r="K37" s="9"/>
      <c r="L37" s="7"/>
      <c r="M37" s="11">
        <f t="shared" si="4"/>
        <v>66.5</v>
      </c>
      <c r="N37" s="11">
        <f t="shared" si="2"/>
        <v>0</v>
      </c>
    </row>
    <row r="38" spans="1:14" x14ac:dyDescent="0.2">
      <c r="A38" s="6" t="s">
        <v>44</v>
      </c>
      <c r="B38" s="7" t="str">
        <f>IFERROR(VLOOKUP(A38,'[1]Owners List'!$A$2:$B$2550,2,FALSE),"")</f>
        <v>KHALFAN SALIM SAUD AL HABSI</v>
      </c>
      <c r="C38" s="43" t="s">
        <v>255</v>
      </c>
      <c r="D38" s="8" t="s">
        <v>45</v>
      </c>
      <c r="E38" s="45">
        <v>0</v>
      </c>
      <c r="F38" s="9">
        <v>70</v>
      </c>
      <c r="G38" s="46">
        <v>45528</v>
      </c>
      <c r="H38" s="9"/>
      <c r="I38" s="9">
        <f t="shared" si="3"/>
        <v>3.5</v>
      </c>
      <c r="J38" s="9"/>
      <c r="K38" s="9"/>
      <c r="L38" s="7"/>
      <c r="M38" s="11">
        <f t="shared" si="4"/>
        <v>66.5</v>
      </c>
      <c r="N38" s="11">
        <f t="shared" si="2"/>
        <v>0</v>
      </c>
    </row>
    <row r="39" spans="1:14" x14ac:dyDescent="0.2">
      <c r="A39" s="6" t="s">
        <v>46</v>
      </c>
      <c r="B39" s="7" t="str">
        <f>IFERROR(VLOOKUP(A39,'[1]Owners List'!$A$2:$B$2550,2,FALSE),"")</f>
        <v>AMOUR SULAIMAN AMOUR AL HARTHI</v>
      </c>
      <c r="C39" s="43" t="s">
        <v>256</v>
      </c>
      <c r="D39" s="8" t="s">
        <v>47</v>
      </c>
      <c r="E39" s="45">
        <v>36.199999999999989</v>
      </c>
      <c r="F39" s="9">
        <v>60</v>
      </c>
      <c r="G39" s="46">
        <v>45474</v>
      </c>
      <c r="H39" s="9"/>
      <c r="I39" s="9">
        <f t="shared" si="3"/>
        <v>3</v>
      </c>
      <c r="J39" s="9"/>
      <c r="K39" s="9">
        <v>36.200000000000003</v>
      </c>
      <c r="L39" s="9"/>
      <c r="M39" s="11">
        <f t="shared" si="4"/>
        <v>20.799999999999997</v>
      </c>
      <c r="N39" s="11">
        <f t="shared" si="2"/>
        <v>0</v>
      </c>
    </row>
    <row r="40" spans="1:14" x14ac:dyDescent="0.2">
      <c r="A40" s="6" t="s">
        <v>48</v>
      </c>
      <c r="B40" s="7" t="str">
        <f>IFERROR(VLOOKUP(A40,'[1]Owners List'!$A$2:$B$2550,2,FALSE),"")</f>
        <v>MOHAMED SAID SALIM AL GHAFRI</v>
      </c>
      <c r="C40" s="43" t="s">
        <v>257</v>
      </c>
      <c r="D40" s="8" t="s">
        <v>49</v>
      </c>
      <c r="E40" s="45">
        <v>0</v>
      </c>
      <c r="F40" s="9">
        <v>280</v>
      </c>
      <c r="G40" s="46" t="s">
        <v>337</v>
      </c>
      <c r="H40" s="9"/>
      <c r="I40" s="9">
        <f t="shared" si="3"/>
        <v>14</v>
      </c>
      <c r="J40" s="9"/>
      <c r="K40" s="9"/>
      <c r="L40" s="7"/>
      <c r="M40" s="11">
        <f t="shared" si="4"/>
        <v>266</v>
      </c>
      <c r="N40" s="11">
        <f t="shared" si="2"/>
        <v>0</v>
      </c>
    </row>
    <row r="41" spans="1:14" x14ac:dyDescent="0.2">
      <c r="A41" s="6" t="s">
        <v>50</v>
      </c>
      <c r="B41" s="7" t="str">
        <f>IFERROR(VLOOKUP(A41,'[1]Owners List'!$A$2:$B$2550,2,FALSE),"")</f>
        <v>SALEH JUMA SALEEM AL BULUSHI</v>
      </c>
      <c r="C41" s="43" t="s">
        <v>258</v>
      </c>
      <c r="D41" s="8" t="s">
        <v>51</v>
      </c>
      <c r="E41" s="45">
        <v>144.35</v>
      </c>
      <c r="F41" s="9">
        <v>55</v>
      </c>
      <c r="G41" s="46">
        <v>45505</v>
      </c>
      <c r="H41" s="9"/>
      <c r="I41" s="9">
        <f t="shared" si="3"/>
        <v>2.75</v>
      </c>
      <c r="J41" s="9"/>
      <c r="K41" s="9">
        <v>52.25</v>
      </c>
      <c r="L41" s="7"/>
      <c r="M41" s="11">
        <f t="shared" si="4"/>
        <v>0</v>
      </c>
      <c r="N41" s="11">
        <f t="shared" si="2"/>
        <v>92.1</v>
      </c>
    </row>
    <row r="42" spans="1:14" x14ac:dyDescent="0.2">
      <c r="A42" s="6" t="s">
        <v>52</v>
      </c>
      <c r="B42" s="7" t="str">
        <f>IFERROR(VLOOKUP(A42,'[1]Owners List'!$A$2:$B$2550,2,FALSE),"")</f>
        <v>SALEH JUMA SALEEM AL BULUSHI</v>
      </c>
      <c r="C42" s="43" t="s">
        <v>258</v>
      </c>
      <c r="D42" s="8" t="s">
        <v>51</v>
      </c>
      <c r="E42" s="45">
        <v>0</v>
      </c>
      <c r="F42" s="9">
        <v>210</v>
      </c>
      <c r="G42" s="46" t="s">
        <v>336</v>
      </c>
      <c r="H42" s="9"/>
      <c r="I42" s="9">
        <f t="shared" si="3"/>
        <v>10.5</v>
      </c>
      <c r="J42" s="9"/>
      <c r="K42" s="9"/>
      <c r="L42" s="9"/>
      <c r="M42" s="11">
        <f t="shared" si="4"/>
        <v>199.5</v>
      </c>
      <c r="N42" s="11">
        <f t="shared" si="2"/>
        <v>0</v>
      </c>
    </row>
    <row r="43" spans="1:14" x14ac:dyDescent="0.2">
      <c r="A43" s="6" t="s">
        <v>53</v>
      </c>
      <c r="B43" s="7" t="str">
        <f>IFERROR(VLOOKUP(A43,'[1]Owners List'!$A$2:$B$2550,2,FALSE),"")</f>
        <v>Nakhal Ahlia Investment Company SOAC</v>
      </c>
      <c r="C43" s="43" t="s">
        <v>234</v>
      </c>
      <c r="D43" s="8" t="s">
        <v>12</v>
      </c>
      <c r="E43" s="45">
        <v>36.200000000000003</v>
      </c>
      <c r="F43" s="9">
        <v>60</v>
      </c>
      <c r="G43" s="46">
        <v>45528</v>
      </c>
      <c r="H43" s="9"/>
      <c r="I43" s="9">
        <f t="shared" si="3"/>
        <v>3</v>
      </c>
      <c r="J43" s="9"/>
      <c r="K43" s="9"/>
      <c r="L43" s="5"/>
      <c r="M43" s="11">
        <f t="shared" si="4"/>
        <v>57</v>
      </c>
      <c r="N43" s="11">
        <f t="shared" si="2"/>
        <v>36.200000000000003</v>
      </c>
    </row>
    <row r="44" spans="1:14" x14ac:dyDescent="0.2">
      <c r="A44" s="6" t="s">
        <v>54</v>
      </c>
      <c r="B44" s="7" t="str">
        <f>IFERROR(VLOOKUP(A44,'[1]Owners List'!$A$2:$B$2550,2,FALSE),"")</f>
        <v>Nakhal Ahlia Investment Company SOAC</v>
      </c>
      <c r="C44" s="43" t="s">
        <v>234</v>
      </c>
      <c r="D44" s="8" t="s">
        <v>12</v>
      </c>
      <c r="E44" s="45">
        <v>36.200000000000003</v>
      </c>
      <c r="F44" s="9">
        <v>70</v>
      </c>
      <c r="G44" s="46">
        <v>45528</v>
      </c>
      <c r="H44" s="9"/>
      <c r="I44" s="9">
        <f t="shared" si="3"/>
        <v>3.5</v>
      </c>
      <c r="J44" s="9"/>
      <c r="K44" s="9"/>
      <c r="L44" s="7"/>
      <c r="M44" s="11">
        <f t="shared" si="4"/>
        <v>66.5</v>
      </c>
      <c r="N44" s="11">
        <f t="shared" si="2"/>
        <v>36.200000000000003</v>
      </c>
    </row>
    <row r="45" spans="1:14" x14ac:dyDescent="0.2">
      <c r="A45" s="6" t="s">
        <v>55</v>
      </c>
      <c r="B45" s="7" t="str">
        <f>IFERROR(VLOOKUP(A45,'[1]Owners List'!$A$2:$B$2550,2,FALSE),"")</f>
        <v>HUMEED SALIM HAMED AL HARTHY</v>
      </c>
      <c r="C45" s="43" t="s">
        <v>259</v>
      </c>
      <c r="D45" s="8" t="s">
        <v>56</v>
      </c>
      <c r="E45" s="45">
        <v>0</v>
      </c>
      <c r="F45" s="9">
        <v>50</v>
      </c>
      <c r="G45" s="46">
        <v>45505</v>
      </c>
      <c r="H45" s="9"/>
      <c r="I45" s="9">
        <f t="shared" si="3"/>
        <v>2.5</v>
      </c>
      <c r="J45" s="9"/>
      <c r="K45" s="9"/>
      <c r="L45" s="9"/>
      <c r="M45" s="11">
        <f t="shared" si="4"/>
        <v>47.5</v>
      </c>
      <c r="N45" s="11">
        <f t="shared" si="2"/>
        <v>0</v>
      </c>
    </row>
    <row r="46" spans="1:14" x14ac:dyDescent="0.2">
      <c r="A46" s="6" t="s">
        <v>57</v>
      </c>
      <c r="B46" s="7" t="str">
        <f>IFERROR(VLOOKUP(A46,'[1]Owners List'!$A$2:$B$2550,2,FALSE),"")</f>
        <v>SAID MOHAMMED SAID AL HADHRAMI</v>
      </c>
      <c r="C46" s="43" t="s">
        <v>260</v>
      </c>
      <c r="D46" s="8" t="s">
        <v>58</v>
      </c>
      <c r="E46" s="45">
        <v>0</v>
      </c>
      <c r="F46" s="9">
        <v>50</v>
      </c>
      <c r="G46" s="46">
        <v>45505</v>
      </c>
      <c r="H46" s="9"/>
      <c r="I46" s="9">
        <f t="shared" si="3"/>
        <v>2.5</v>
      </c>
      <c r="J46" s="9"/>
      <c r="K46" s="9"/>
      <c r="L46" s="9"/>
      <c r="M46" s="11">
        <f t="shared" si="4"/>
        <v>47.5</v>
      </c>
      <c r="N46" s="11">
        <f t="shared" si="2"/>
        <v>0</v>
      </c>
    </row>
    <row r="47" spans="1:14" x14ac:dyDescent="0.2">
      <c r="A47" s="6" t="s">
        <v>59</v>
      </c>
      <c r="B47" s="7" t="str">
        <f>IFERROR(VLOOKUP(A47,'[1]Owners List'!$A$2:$B$2550,2,FALSE),"")</f>
        <v>ABDUL SALAM NASSER AL KHARUSI</v>
      </c>
      <c r="C47" s="43" t="s">
        <v>261</v>
      </c>
      <c r="D47" s="8" t="s">
        <v>60</v>
      </c>
      <c r="E47" s="45">
        <v>221.65</v>
      </c>
      <c r="F47" s="9">
        <v>125</v>
      </c>
      <c r="G47" s="46">
        <v>45474</v>
      </c>
      <c r="H47" s="9"/>
      <c r="I47" s="9">
        <f t="shared" si="3"/>
        <v>6.25</v>
      </c>
      <c r="J47" s="9"/>
      <c r="K47" s="9">
        <v>50</v>
      </c>
      <c r="L47" s="7"/>
      <c r="M47" s="11">
        <f t="shared" si="4"/>
        <v>68.75</v>
      </c>
      <c r="N47" s="11">
        <f t="shared" si="2"/>
        <v>171.65</v>
      </c>
    </row>
    <row r="48" spans="1:14" x14ac:dyDescent="0.2">
      <c r="A48" s="6" t="s">
        <v>61</v>
      </c>
      <c r="B48" s="7" t="str">
        <f>IFERROR(VLOOKUP(A48,'[1]Owners List'!$A$2:$B$2550,2,FALSE),"")</f>
        <v>ABDUL SALAM NASSER AL KHARUSI</v>
      </c>
      <c r="C48" s="43" t="s">
        <v>261</v>
      </c>
      <c r="D48" s="8" t="s">
        <v>60</v>
      </c>
      <c r="E48" s="45">
        <v>221.65</v>
      </c>
      <c r="F48" s="9">
        <v>125</v>
      </c>
      <c r="G48" s="46">
        <v>45474</v>
      </c>
      <c r="H48" s="9"/>
      <c r="I48" s="9">
        <f t="shared" si="3"/>
        <v>6.25</v>
      </c>
      <c r="J48" s="9"/>
      <c r="K48" s="9">
        <v>50</v>
      </c>
      <c r="L48" s="7"/>
      <c r="M48" s="11">
        <f t="shared" si="4"/>
        <v>68.75</v>
      </c>
      <c r="N48" s="11">
        <f t="shared" si="2"/>
        <v>171.65</v>
      </c>
    </row>
    <row r="49" spans="1:14" x14ac:dyDescent="0.2">
      <c r="A49" s="6" t="s">
        <v>62</v>
      </c>
      <c r="B49" s="7" t="str">
        <f>IFERROR(VLOOKUP(A49,'[1]Owners List'!$A$2:$B$2550,2,FALSE),"")</f>
        <v>NAFA HUMAID AMUR AL JAHDHAMI</v>
      </c>
      <c r="C49" s="43" t="s">
        <v>262</v>
      </c>
      <c r="D49" s="8" t="s">
        <v>63</v>
      </c>
      <c r="E49" s="45">
        <v>0</v>
      </c>
      <c r="F49" s="9">
        <v>100</v>
      </c>
      <c r="G49" s="46">
        <v>45505</v>
      </c>
      <c r="H49" s="9"/>
      <c r="I49" s="9">
        <f t="shared" si="3"/>
        <v>5</v>
      </c>
      <c r="J49" s="9"/>
      <c r="K49" s="9"/>
      <c r="L49" s="9"/>
      <c r="M49" s="11">
        <f t="shared" si="4"/>
        <v>95</v>
      </c>
      <c r="N49" s="11">
        <f t="shared" si="2"/>
        <v>0</v>
      </c>
    </row>
    <row r="50" spans="1:14" x14ac:dyDescent="0.2">
      <c r="A50" s="6" t="s">
        <v>64</v>
      </c>
      <c r="B50" s="7" t="str">
        <f>IFERROR(VLOOKUP(A50,'[1]Owners List'!$A$2:$B$2550,2,FALSE),"")</f>
        <v>ABDULLAH MOHAMED AHMED AL HARTHY</v>
      </c>
      <c r="C50" s="43" t="s">
        <v>263</v>
      </c>
      <c r="D50" s="8">
        <v>99220016</v>
      </c>
      <c r="E50" s="45">
        <v>0</v>
      </c>
      <c r="F50" s="9">
        <v>300</v>
      </c>
      <c r="G50" s="46" t="s">
        <v>336</v>
      </c>
      <c r="H50" s="9"/>
      <c r="I50" s="9">
        <f t="shared" si="3"/>
        <v>15</v>
      </c>
      <c r="J50" s="9"/>
      <c r="K50" s="9"/>
      <c r="L50" s="9"/>
      <c r="M50" s="11">
        <f t="shared" si="4"/>
        <v>285</v>
      </c>
      <c r="N50" s="11">
        <f t="shared" si="2"/>
        <v>0</v>
      </c>
    </row>
    <row r="51" spans="1:14" x14ac:dyDescent="0.2">
      <c r="A51" s="6" t="s">
        <v>65</v>
      </c>
      <c r="B51" s="7" t="str">
        <f>IFERROR(VLOOKUP(A51,'[1]Owners List'!$A$2:$B$2550,2,FALSE),"")</f>
        <v>SALIM NASEER SALIM AL HADHRAMI</v>
      </c>
      <c r="C51" s="43" t="s">
        <v>264</v>
      </c>
      <c r="D51" s="8" t="s">
        <v>66</v>
      </c>
      <c r="E51" s="45">
        <v>0</v>
      </c>
      <c r="F51" s="9">
        <v>100</v>
      </c>
      <c r="G51" s="46">
        <v>45474</v>
      </c>
      <c r="H51" s="9"/>
      <c r="I51" s="9">
        <f t="shared" si="3"/>
        <v>5</v>
      </c>
      <c r="J51" s="9"/>
      <c r="K51" s="9"/>
      <c r="L51" s="5"/>
      <c r="M51" s="11">
        <f t="shared" si="4"/>
        <v>95</v>
      </c>
      <c r="N51" s="11">
        <f t="shared" si="2"/>
        <v>0</v>
      </c>
    </row>
    <row r="52" spans="1:14" x14ac:dyDescent="0.2">
      <c r="A52" s="6" t="s">
        <v>67</v>
      </c>
      <c r="B52" s="7" t="str">
        <f>IFERROR(VLOOKUP(A52,'[1]Owners List'!$A$2:$B$2550,2,FALSE),"")</f>
        <v>SALEH JUMA SALEEM AL BULUSHI</v>
      </c>
      <c r="C52" s="43" t="s">
        <v>258</v>
      </c>
      <c r="D52" s="8" t="s">
        <v>51</v>
      </c>
      <c r="E52" s="45">
        <v>0</v>
      </c>
      <c r="F52" s="9">
        <v>100</v>
      </c>
      <c r="G52" s="46">
        <v>45528</v>
      </c>
      <c r="H52" s="9"/>
      <c r="I52" s="9">
        <f t="shared" si="3"/>
        <v>5</v>
      </c>
      <c r="J52" s="9"/>
      <c r="K52" s="9"/>
      <c r="L52" s="5"/>
      <c r="M52" s="11">
        <f t="shared" si="4"/>
        <v>95</v>
      </c>
      <c r="N52" s="11">
        <f t="shared" si="2"/>
        <v>0</v>
      </c>
    </row>
    <row r="53" spans="1:14" x14ac:dyDescent="0.2">
      <c r="A53" s="6" t="s">
        <v>68</v>
      </c>
      <c r="B53" s="7" t="str">
        <f>IFERROR(VLOOKUP(A53,'[1]Owners List'!$A$2:$B$2550,2,FALSE),"")</f>
        <v>HUMEED SALIM HAMED AL HARTHY</v>
      </c>
      <c r="C53" s="43" t="s">
        <v>259</v>
      </c>
      <c r="D53" s="8" t="s">
        <v>56</v>
      </c>
      <c r="E53" s="45">
        <v>0</v>
      </c>
      <c r="F53" s="9">
        <v>100</v>
      </c>
      <c r="G53" s="46">
        <v>45528</v>
      </c>
      <c r="H53" s="9"/>
      <c r="I53" s="9">
        <f t="shared" si="3"/>
        <v>5</v>
      </c>
      <c r="J53" s="9"/>
      <c r="K53" s="9"/>
      <c r="L53" s="5"/>
      <c r="M53" s="11">
        <f t="shared" si="4"/>
        <v>95</v>
      </c>
      <c r="N53" s="11">
        <f t="shared" si="2"/>
        <v>0</v>
      </c>
    </row>
    <row r="54" spans="1:14" x14ac:dyDescent="0.2">
      <c r="A54" s="6" t="s">
        <v>69</v>
      </c>
      <c r="B54" s="7" t="str">
        <f>IFERROR(VLOOKUP(A54,'[1]Owners List'!$A$2:$B$2550,2,FALSE),"")</f>
        <v>Nakhal Ahlia Investment Company SOAC</v>
      </c>
      <c r="C54" s="43" t="s">
        <v>234</v>
      </c>
      <c r="D54" s="8" t="s">
        <v>12</v>
      </c>
      <c r="E54" s="45">
        <v>140.80000000000001</v>
      </c>
      <c r="F54" s="9">
        <v>130</v>
      </c>
      <c r="G54" s="46">
        <v>45505</v>
      </c>
      <c r="H54" s="9"/>
      <c r="I54" s="9">
        <f t="shared" si="3"/>
        <v>6.5</v>
      </c>
      <c r="J54" s="9"/>
      <c r="K54" s="9"/>
      <c r="L54" s="9"/>
      <c r="M54" s="11">
        <f t="shared" si="4"/>
        <v>123.5</v>
      </c>
      <c r="N54" s="11">
        <f t="shared" si="2"/>
        <v>140.80000000000001</v>
      </c>
    </row>
    <row r="55" spans="1:14" x14ac:dyDescent="0.2">
      <c r="A55" s="6" t="s">
        <v>70</v>
      </c>
      <c r="B55" s="7" t="str">
        <f>IFERROR(VLOOKUP(A55,'[1]Owners List'!$A$2:$B$2550,2,FALSE),"")</f>
        <v>ALI SALIM HAMED AL KASBI</v>
      </c>
      <c r="C55" s="43" t="s">
        <v>265</v>
      </c>
      <c r="D55" s="8" t="s">
        <v>71</v>
      </c>
      <c r="E55" s="45">
        <v>0</v>
      </c>
      <c r="F55" s="9">
        <v>100</v>
      </c>
      <c r="G55" s="46">
        <v>45528</v>
      </c>
      <c r="H55" s="9"/>
      <c r="I55" s="9">
        <f t="shared" si="3"/>
        <v>5</v>
      </c>
      <c r="J55" s="9"/>
      <c r="K55" s="9"/>
      <c r="L55" s="7"/>
      <c r="M55" s="11">
        <f t="shared" si="4"/>
        <v>95</v>
      </c>
      <c r="N55" s="11">
        <f t="shared" si="2"/>
        <v>0</v>
      </c>
    </row>
    <row r="56" spans="1:14" x14ac:dyDescent="0.2">
      <c r="A56" s="6" t="s">
        <v>72</v>
      </c>
      <c r="B56" s="7" t="str">
        <f>IFERROR(VLOOKUP(A56,'[1]Owners List'!$A$2:$B$2550,2,FALSE),"")</f>
        <v>JAMILA SALEH SALIM AL FAHDI</v>
      </c>
      <c r="C56" s="43" t="s">
        <v>266</v>
      </c>
      <c r="D56" s="8">
        <v>99011773</v>
      </c>
      <c r="E56" s="45">
        <v>0</v>
      </c>
      <c r="F56" s="9">
        <v>100</v>
      </c>
      <c r="G56" s="46">
        <v>45528</v>
      </c>
      <c r="H56" s="9"/>
      <c r="I56" s="9">
        <f t="shared" si="3"/>
        <v>5</v>
      </c>
      <c r="J56" s="9"/>
      <c r="K56" s="9"/>
      <c r="L56" s="7"/>
      <c r="M56" s="11">
        <f t="shared" si="4"/>
        <v>95</v>
      </c>
      <c r="N56" s="11">
        <f t="shared" si="2"/>
        <v>0</v>
      </c>
    </row>
    <row r="57" spans="1:14" x14ac:dyDescent="0.2">
      <c r="A57" s="6" t="s">
        <v>73</v>
      </c>
      <c r="B57" s="7" t="str">
        <f>IFERROR(VLOOKUP(A57,'[1]Owners List'!$A$2:$B$2550,2,FALSE),"")</f>
        <v>WAHEED MURTADHA HABIB AL HAMAID</v>
      </c>
      <c r="C57" s="43" t="s">
        <v>267</v>
      </c>
      <c r="D57" s="8" t="s">
        <v>74</v>
      </c>
      <c r="E57" s="45">
        <v>513.79999999999995</v>
      </c>
      <c r="F57" s="9">
        <v>450</v>
      </c>
      <c r="G57" s="46" t="s">
        <v>338</v>
      </c>
      <c r="H57" s="9">
        <v>54</v>
      </c>
      <c r="I57" s="9">
        <f t="shared" si="3"/>
        <v>22.5</v>
      </c>
      <c r="J57" s="9">
        <v>54</v>
      </c>
      <c r="K57" s="9">
        <v>319.5</v>
      </c>
      <c r="L57" s="9"/>
      <c r="M57" s="11">
        <f t="shared" si="4"/>
        <v>0</v>
      </c>
      <c r="N57" s="11">
        <f t="shared" si="2"/>
        <v>194.29999999999995</v>
      </c>
    </row>
    <row r="58" spans="1:14" x14ac:dyDescent="0.2">
      <c r="A58" s="6" t="s">
        <v>75</v>
      </c>
      <c r="B58" s="7" t="str">
        <f>IFERROR(VLOOKUP(A58,'[1]Owners List'!$A$2:$B$2550,2,FALSE),"")</f>
        <v>MAHA ABDUL HUSAIN GUL MOHAMED AL FADHIL</v>
      </c>
      <c r="C58" s="43" t="s">
        <v>268</v>
      </c>
      <c r="D58" s="8">
        <v>99248122</v>
      </c>
      <c r="E58" s="45">
        <v>513.79999999999995</v>
      </c>
      <c r="F58" s="9">
        <v>450</v>
      </c>
      <c r="G58" s="46" t="s">
        <v>338</v>
      </c>
      <c r="H58" s="9">
        <v>54</v>
      </c>
      <c r="I58" s="9">
        <f t="shared" si="3"/>
        <v>22.5</v>
      </c>
      <c r="J58" s="9">
        <v>54</v>
      </c>
      <c r="K58" s="9">
        <v>319.5</v>
      </c>
      <c r="L58" s="9"/>
      <c r="M58" s="11">
        <f t="shared" si="4"/>
        <v>0</v>
      </c>
      <c r="N58" s="11">
        <f t="shared" si="2"/>
        <v>194.29999999999995</v>
      </c>
    </row>
    <row r="59" spans="1:14" x14ac:dyDescent="0.2">
      <c r="A59" s="6" t="s">
        <v>76</v>
      </c>
      <c r="B59" s="7" t="str">
        <f>IFERROR(VLOOKUP(A59,'[1]Owners List'!$A$2:$B$2550,2,FALSE),"")</f>
        <v>MUHANNAD ABDUL AMIR SAID</v>
      </c>
      <c r="C59" s="43" t="s">
        <v>269</v>
      </c>
      <c r="D59" s="8" t="s">
        <v>77</v>
      </c>
      <c r="E59" s="45">
        <v>513.79999999999995</v>
      </c>
      <c r="F59" s="9">
        <v>450</v>
      </c>
      <c r="G59" s="46" t="s">
        <v>338</v>
      </c>
      <c r="H59" s="9">
        <v>54</v>
      </c>
      <c r="I59" s="9">
        <f t="shared" si="3"/>
        <v>22.5</v>
      </c>
      <c r="J59" s="9">
        <v>54</v>
      </c>
      <c r="K59" s="9">
        <v>319.5</v>
      </c>
      <c r="L59" s="9"/>
      <c r="M59" s="11">
        <f t="shared" si="4"/>
        <v>0</v>
      </c>
      <c r="N59" s="11">
        <f t="shared" si="2"/>
        <v>194.29999999999995</v>
      </c>
    </row>
    <row r="60" spans="1:14" x14ac:dyDescent="0.2">
      <c r="A60" s="6" t="s">
        <v>78</v>
      </c>
      <c r="B60" s="7" t="str">
        <f>IFERROR(VLOOKUP(A60,'[1]Owners List'!$A$2:$B$2550,2,FALSE),"")</f>
        <v>ADHAM SALEH SAID AL MASKARI</v>
      </c>
      <c r="C60" s="43" t="s">
        <v>270</v>
      </c>
      <c r="D60" s="8" t="s">
        <v>79</v>
      </c>
      <c r="E60" s="45">
        <v>0</v>
      </c>
      <c r="F60" s="9">
        <v>100</v>
      </c>
      <c r="G60" s="46">
        <v>45474</v>
      </c>
      <c r="H60" s="9"/>
      <c r="I60" s="9">
        <f t="shared" si="3"/>
        <v>5</v>
      </c>
      <c r="J60" s="9"/>
      <c r="K60" s="9"/>
      <c r="L60" s="7"/>
      <c r="M60" s="11">
        <f t="shared" si="4"/>
        <v>95</v>
      </c>
      <c r="N60" s="11">
        <f t="shared" si="2"/>
        <v>0</v>
      </c>
    </row>
    <row r="61" spans="1:14" x14ac:dyDescent="0.2">
      <c r="A61" s="6" t="s">
        <v>80</v>
      </c>
      <c r="B61" s="7" t="str">
        <f>IFERROR(VLOOKUP(A61,'[1]Owners List'!$A$2:$B$2550,2,FALSE),"")</f>
        <v>NAJEEB AHMED ALLAH BAKHSH AL BALUSHI</v>
      </c>
      <c r="C61" s="43" t="s">
        <v>271</v>
      </c>
      <c r="D61" s="8" t="s">
        <v>81</v>
      </c>
      <c r="E61" s="45">
        <v>476.2</v>
      </c>
      <c r="F61" s="9">
        <v>100</v>
      </c>
      <c r="G61" s="46">
        <v>45528</v>
      </c>
      <c r="H61" s="9"/>
      <c r="I61" s="9">
        <f t="shared" si="3"/>
        <v>5</v>
      </c>
      <c r="J61" s="9"/>
      <c r="K61" s="9">
        <v>45</v>
      </c>
      <c r="L61" s="5"/>
      <c r="M61" s="11">
        <f t="shared" si="4"/>
        <v>50</v>
      </c>
      <c r="N61" s="11">
        <f t="shared" si="2"/>
        <v>431.2</v>
      </c>
    </row>
    <row r="62" spans="1:14" x14ac:dyDescent="0.2">
      <c r="A62" s="6" t="s">
        <v>82</v>
      </c>
      <c r="B62" s="7" t="str">
        <f>IFERROR(VLOOKUP(A62,'[1]Owners List'!$A$2:$B$2550,2,FALSE),"")</f>
        <v>NAJEEB AHMED ALLAH BAKHSH AL BALUSHI</v>
      </c>
      <c r="C62" s="43" t="s">
        <v>271</v>
      </c>
      <c r="D62" s="8" t="s">
        <v>81</v>
      </c>
      <c r="E62" s="45">
        <v>513.79999999999995</v>
      </c>
      <c r="F62" s="9">
        <v>100</v>
      </c>
      <c r="G62" s="46">
        <v>45528</v>
      </c>
      <c r="H62" s="9"/>
      <c r="I62" s="9">
        <f t="shared" si="3"/>
        <v>5</v>
      </c>
      <c r="J62" s="9"/>
      <c r="K62" s="9">
        <v>45</v>
      </c>
      <c r="L62" s="5"/>
      <c r="M62" s="11">
        <f t="shared" si="4"/>
        <v>50</v>
      </c>
      <c r="N62" s="11">
        <f t="shared" si="2"/>
        <v>468.79999999999995</v>
      </c>
    </row>
    <row r="63" spans="1:14" x14ac:dyDescent="0.2">
      <c r="A63" s="6" t="s">
        <v>83</v>
      </c>
      <c r="B63" s="7" t="str">
        <f>IFERROR(VLOOKUP(A63,'[1]Owners List'!$A$2:$B$2550,2,FALSE),"")</f>
        <v>MOHAMED SAID SALIM AL GHAFRI</v>
      </c>
      <c r="C63" s="43" t="s">
        <v>257</v>
      </c>
      <c r="D63" s="8" t="s">
        <v>49</v>
      </c>
      <c r="E63" s="45">
        <v>0</v>
      </c>
      <c r="F63" s="9">
        <v>50</v>
      </c>
      <c r="G63" s="46">
        <v>45505</v>
      </c>
      <c r="H63" s="9"/>
      <c r="I63" s="9">
        <f t="shared" si="3"/>
        <v>2.5</v>
      </c>
      <c r="J63" s="9"/>
      <c r="K63" s="9"/>
      <c r="L63" s="7"/>
      <c r="M63" s="11">
        <f t="shared" si="4"/>
        <v>47.5</v>
      </c>
      <c r="N63" s="11">
        <f t="shared" si="2"/>
        <v>0</v>
      </c>
    </row>
    <row r="64" spans="1:14" x14ac:dyDescent="0.2">
      <c r="A64" s="6" t="s">
        <v>84</v>
      </c>
      <c r="B64" s="7" t="str">
        <f>IFERROR(VLOOKUP(A64,'[1]Owners List'!$A$2:$B$2550,2,FALSE),"")</f>
        <v>THURAIYA SHAMIS MOHAMED AL SIYABI</v>
      </c>
      <c r="C64" s="43" t="s">
        <v>272</v>
      </c>
      <c r="D64" s="8" t="s">
        <v>85</v>
      </c>
      <c r="E64" s="45">
        <v>39.299999999999997</v>
      </c>
      <c r="F64" s="9">
        <v>210</v>
      </c>
      <c r="G64" s="46" t="s">
        <v>339</v>
      </c>
      <c r="H64" s="9">
        <v>25.2</v>
      </c>
      <c r="I64" s="9">
        <f t="shared" si="3"/>
        <v>10.5</v>
      </c>
      <c r="J64" s="9">
        <v>32.222999999999999</v>
      </c>
      <c r="K64" s="9">
        <v>39.299999999999997</v>
      </c>
      <c r="L64" s="7"/>
      <c r="M64" s="11">
        <f t="shared" si="4"/>
        <v>102.777</v>
      </c>
      <c r="N64" s="11">
        <f t="shared" si="2"/>
        <v>0</v>
      </c>
    </row>
    <row r="65" spans="1:14" x14ac:dyDescent="0.2">
      <c r="A65" s="6" t="s">
        <v>86</v>
      </c>
      <c r="B65" s="7" t="str">
        <f>IFERROR(VLOOKUP(A65,'[1]Owners List'!$A$2:$B$2550,2,FALSE),"")</f>
        <v>KHAMIS MOHAMMED ABDULLAH AL DAHMANI</v>
      </c>
      <c r="C65" s="43" t="s">
        <v>273</v>
      </c>
      <c r="D65" s="8" t="s">
        <v>87</v>
      </c>
      <c r="E65" s="45">
        <v>0</v>
      </c>
      <c r="F65" s="9">
        <v>70</v>
      </c>
      <c r="G65" s="46">
        <v>45231</v>
      </c>
      <c r="H65" s="9"/>
      <c r="I65" s="9">
        <f t="shared" si="3"/>
        <v>3.5</v>
      </c>
      <c r="J65" s="9"/>
      <c r="K65" s="9"/>
      <c r="L65" s="7"/>
      <c r="M65" s="11">
        <f t="shared" si="4"/>
        <v>66.5</v>
      </c>
      <c r="N65" s="11">
        <f t="shared" si="2"/>
        <v>0</v>
      </c>
    </row>
    <row r="66" spans="1:14" x14ac:dyDescent="0.2">
      <c r="A66" s="6" t="s">
        <v>88</v>
      </c>
      <c r="B66" s="7" t="str">
        <f>IFERROR(VLOOKUP(A66,'[1]Owners List'!$A$2:$B$2550,2,FALSE),"")</f>
        <v>MAHER ALAWI ABDULLAH AL MURAZA BA ABOOD</v>
      </c>
      <c r="C66" s="43" t="s">
        <v>274</v>
      </c>
      <c r="D66" s="8" t="s">
        <v>89</v>
      </c>
      <c r="E66" s="45">
        <v>0</v>
      </c>
      <c r="F66" s="9">
        <v>1200</v>
      </c>
      <c r="G66" s="46" t="s">
        <v>340</v>
      </c>
      <c r="H66" s="9"/>
      <c r="I66" s="9">
        <f t="shared" ref="I66:I73" si="5">F66*5%</f>
        <v>60</v>
      </c>
      <c r="J66" s="9"/>
      <c r="K66" s="9"/>
      <c r="L66" s="7"/>
      <c r="M66" s="11">
        <f t="shared" ref="M66:M97" si="6">F66-H66-I66-K66-J66-L66</f>
        <v>1140</v>
      </c>
      <c r="N66" s="11">
        <f t="shared" si="2"/>
        <v>0</v>
      </c>
    </row>
    <row r="67" spans="1:14" x14ac:dyDescent="0.2">
      <c r="A67" s="6" t="s">
        <v>90</v>
      </c>
      <c r="B67" s="7" t="str">
        <f>IFERROR(VLOOKUP(A67,'[1]Owners List'!$A$2:$B$2550,2,FALSE),"")</f>
        <v>IMAN MALIK IBRAHIM AL KINDI</v>
      </c>
      <c r="C67" s="43" t="s">
        <v>275</v>
      </c>
      <c r="D67" s="8" t="s">
        <v>91</v>
      </c>
      <c r="E67" s="45">
        <v>0</v>
      </c>
      <c r="F67" s="9">
        <v>30</v>
      </c>
      <c r="G67" s="46" t="s">
        <v>341</v>
      </c>
      <c r="H67" s="9"/>
      <c r="I67" s="9">
        <f t="shared" si="5"/>
        <v>1.5</v>
      </c>
      <c r="J67" s="9"/>
      <c r="K67" s="9"/>
      <c r="L67" s="7"/>
      <c r="M67" s="11">
        <f t="shared" si="6"/>
        <v>28.5</v>
      </c>
      <c r="N67" s="11">
        <f t="shared" ref="N67:N130" si="7">E67-K67</f>
        <v>0</v>
      </c>
    </row>
    <row r="68" spans="1:14" x14ac:dyDescent="0.2">
      <c r="A68" s="6" t="s">
        <v>92</v>
      </c>
      <c r="B68" s="7" t="str">
        <f>IFERROR(VLOOKUP(A68,'[1]Owners List'!$A$2:$B$2550,2,FALSE),"")</f>
        <v>SAUD SALIM AMUR KHALFAN AL HABSI</v>
      </c>
      <c r="C68" s="43" t="s">
        <v>276</v>
      </c>
      <c r="D68" s="8" t="s">
        <v>93</v>
      </c>
      <c r="E68" s="45">
        <v>0</v>
      </c>
      <c r="F68" s="9">
        <v>100</v>
      </c>
      <c r="G68" s="46">
        <v>45505</v>
      </c>
      <c r="H68" s="9"/>
      <c r="I68" s="9">
        <f t="shared" si="5"/>
        <v>5</v>
      </c>
      <c r="J68" s="9"/>
      <c r="K68" s="9"/>
      <c r="L68" s="9"/>
      <c r="M68" s="11">
        <f t="shared" si="6"/>
        <v>95</v>
      </c>
      <c r="N68" s="11">
        <f t="shared" si="7"/>
        <v>0</v>
      </c>
    </row>
    <row r="69" spans="1:14" x14ac:dyDescent="0.2">
      <c r="A69" s="6" t="s">
        <v>94</v>
      </c>
      <c r="B69" s="7" t="str">
        <f>IFERROR(VLOOKUP(A69,'[1]Owners List'!$A$2:$B$2550,2,FALSE),"")</f>
        <v>SAIF ABDULLAH SAIF AL HOSINI</v>
      </c>
      <c r="C69" s="43" t="s">
        <v>277</v>
      </c>
      <c r="D69" s="8" t="s">
        <v>95</v>
      </c>
      <c r="E69" s="45">
        <v>0</v>
      </c>
      <c r="F69" s="9">
        <v>100</v>
      </c>
      <c r="G69" s="46">
        <v>45444</v>
      </c>
      <c r="H69" s="9"/>
      <c r="I69" s="9">
        <f t="shared" si="5"/>
        <v>5</v>
      </c>
      <c r="J69" s="9"/>
      <c r="K69" s="9"/>
      <c r="L69" s="7"/>
      <c r="M69" s="11">
        <f t="shared" si="6"/>
        <v>95</v>
      </c>
      <c r="N69" s="11">
        <f t="shared" si="7"/>
        <v>0</v>
      </c>
    </row>
    <row r="70" spans="1:14" x14ac:dyDescent="0.2">
      <c r="A70" s="6" t="s">
        <v>96</v>
      </c>
      <c r="B70" s="7" t="str">
        <f>IFERROR(VLOOKUP(A70,'[1]Owners List'!$A$2:$B$2550,2,FALSE),"")</f>
        <v>ABBAS ABDULAH SALEH AL BAHRANI</v>
      </c>
      <c r="C70" s="43" t="s">
        <v>278</v>
      </c>
      <c r="D70" s="8" t="s">
        <v>97</v>
      </c>
      <c r="E70" s="45">
        <v>162.80000000000001</v>
      </c>
      <c r="F70" s="9">
        <v>900</v>
      </c>
      <c r="G70" s="46" t="s">
        <v>342</v>
      </c>
      <c r="H70" s="9">
        <v>54</v>
      </c>
      <c r="I70" s="9">
        <f t="shared" si="5"/>
        <v>45</v>
      </c>
      <c r="J70" s="9"/>
      <c r="K70" s="9">
        <v>162.80000000000001</v>
      </c>
      <c r="L70" s="9"/>
      <c r="M70" s="11">
        <f t="shared" si="6"/>
        <v>638.20000000000005</v>
      </c>
      <c r="N70" s="11">
        <f t="shared" si="7"/>
        <v>0</v>
      </c>
    </row>
    <row r="71" spans="1:14" x14ac:dyDescent="0.2">
      <c r="A71" s="6" t="s">
        <v>98</v>
      </c>
      <c r="B71" s="7" t="str">
        <f>IFERROR(VLOOKUP(A71,'[1]Owners List'!$A$2:$B$2550,2,FALSE),"")</f>
        <v>Nakhal Ahlia Investment Company SOAC</v>
      </c>
      <c r="C71" s="43" t="s">
        <v>234</v>
      </c>
      <c r="D71" s="8" t="s">
        <v>12</v>
      </c>
      <c r="E71" s="45">
        <v>0</v>
      </c>
      <c r="F71" s="9">
        <v>1000</v>
      </c>
      <c r="G71" s="46">
        <v>45474</v>
      </c>
      <c r="H71" s="9"/>
      <c r="I71" s="9">
        <f t="shared" si="5"/>
        <v>50</v>
      </c>
      <c r="J71" s="9"/>
      <c r="K71" s="9"/>
      <c r="L71" s="7"/>
      <c r="M71" s="11">
        <f t="shared" si="6"/>
        <v>950</v>
      </c>
      <c r="N71" s="11">
        <f t="shared" si="7"/>
        <v>0</v>
      </c>
    </row>
    <row r="72" spans="1:14" x14ac:dyDescent="0.2">
      <c r="A72" s="6" t="s">
        <v>99</v>
      </c>
      <c r="B72" s="7" t="str">
        <f>IFERROR(VLOOKUP(A72,'[1]Owners List'!$A$2:$B$2550,2,FALSE),"")</f>
        <v>HAMED IBRAHIM HAMED AL QARWASHI</v>
      </c>
      <c r="C72" s="43" t="s">
        <v>279</v>
      </c>
      <c r="D72" s="8" t="s">
        <v>100</v>
      </c>
      <c r="E72" s="45">
        <v>0</v>
      </c>
      <c r="F72" s="9">
        <v>70</v>
      </c>
      <c r="G72" s="46">
        <v>45505</v>
      </c>
      <c r="H72" s="9"/>
      <c r="I72" s="9">
        <f t="shared" si="5"/>
        <v>3.5</v>
      </c>
      <c r="J72" s="9"/>
      <c r="K72" s="9"/>
      <c r="L72" s="9"/>
      <c r="M72" s="11">
        <f t="shared" si="6"/>
        <v>66.5</v>
      </c>
      <c r="N72" s="11">
        <f t="shared" si="7"/>
        <v>0</v>
      </c>
    </row>
    <row r="73" spans="1:14" x14ac:dyDescent="0.2">
      <c r="A73" s="6" t="s">
        <v>101</v>
      </c>
      <c r="B73" s="7" t="str">
        <f>IFERROR(VLOOKUP(A73,'[1]Owners List'!$A$2:$B$2550,2,FALSE),"")</f>
        <v>HUMOUD SLOUM SLELIM AL SHUKEIRY</v>
      </c>
      <c r="C73" s="43" t="s">
        <v>280</v>
      </c>
      <c r="D73" s="8">
        <v>99350567</v>
      </c>
      <c r="E73" s="45">
        <v>0</v>
      </c>
      <c r="F73" s="9">
        <v>70</v>
      </c>
      <c r="G73" s="46">
        <v>45505</v>
      </c>
      <c r="H73" s="9"/>
      <c r="I73" s="9">
        <f t="shared" si="5"/>
        <v>3.5</v>
      </c>
      <c r="J73" s="9"/>
      <c r="K73" s="9"/>
      <c r="L73" s="9"/>
      <c r="M73" s="11">
        <f t="shared" si="6"/>
        <v>66.5</v>
      </c>
      <c r="N73" s="11">
        <f t="shared" si="7"/>
        <v>0</v>
      </c>
    </row>
    <row r="74" spans="1:14" x14ac:dyDescent="0.2">
      <c r="A74" s="6" t="s">
        <v>102</v>
      </c>
      <c r="B74" s="7" t="str">
        <f>IFERROR(VLOOKUP(A74,'[1]Owners List'!$A$2:$B$2550,2,FALSE),"")</f>
        <v>FARIS MUBARAK OMAR AL BALUSHI</v>
      </c>
      <c r="C74" s="43" t="s">
        <v>281</v>
      </c>
      <c r="D74" s="8" t="s">
        <v>103</v>
      </c>
      <c r="E74" s="45">
        <v>-36.199999999999996</v>
      </c>
      <c r="F74" s="9">
        <v>60</v>
      </c>
      <c r="G74" s="46">
        <v>45413</v>
      </c>
      <c r="H74" s="9"/>
      <c r="I74" s="9">
        <v>0</v>
      </c>
      <c r="J74" s="9"/>
      <c r="K74" s="9"/>
      <c r="L74" s="7"/>
      <c r="M74" s="11">
        <f t="shared" si="6"/>
        <v>60</v>
      </c>
      <c r="N74" s="11">
        <f t="shared" si="7"/>
        <v>-36.199999999999996</v>
      </c>
    </row>
    <row r="75" spans="1:14" x14ac:dyDescent="0.2">
      <c r="A75" s="6" t="s">
        <v>104</v>
      </c>
      <c r="B75" s="7" t="str">
        <f>IFERROR(VLOOKUP(A75,'[1]Owners List'!$A$2:$B$2550,2,FALSE),"")</f>
        <v>HILAL SAIF HAMED AL ARAFATI</v>
      </c>
      <c r="C75" s="43" t="s">
        <v>282</v>
      </c>
      <c r="D75" s="8">
        <v>99440767</v>
      </c>
      <c r="E75" s="45">
        <v>12.5</v>
      </c>
      <c r="F75" s="9">
        <v>240</v>
      </c>
      <c r="G75" s="46" t="s">
        <v>336</v>
      </c>
      <c r="H75" s="9"/>
      <c r="I75" s="9">
        <f t="shared" ref="I75:I106" si="8">F75*5%</f>
        <v>12</v>
      </c>
      <c r="J75" s="9"/>
      <c r="K75" s="9">
        <v>12.5</v>
      </c>
      <c r="L75" s="9"/>
      <c r="M75" s="11">
        <f t="shared" si="6"/>
        <v>215.5</v>
      </c>
      <c r="N75" s="11">
        <f t="shared" si="7"/>
        <v>0</v>
      </c>
    </row>
    <row r="76" spans="1:14" x14ac:dyDescent="0.2">
      <c r="A76" s="6" t="s">
        <v>105</v>
      </c>
      <c r="B76" s="7" t="str">
        <f>IFERROR(VLOOKUP(A76,'[1]Owners List'!$A$2:$B$2550,2,FALSE),"")</f>
        <v>Nakhal Ahlia Investment Company SOAC</v>
      </c>
      <c r="C76" s="43" t="s">
        <v>234</v>
      </c>
      <c r="D76" s="8" t="s">
        <v>12</v>
      </c>
      <c r="E76" s="45">
        <v>194</v>
      </c>
      <c r="F76" s="9">
        <v>180</v>
      </c>
      <c r="G76" s="46">
        <v>45474</v>
      </c>
      <c r="H76" s="9"/>
      <c r="I76" s="9">
        <f t="shared" si="8"/>
        <v>9</v>
      </c>
      <c r="J76" s="9"/>
      <c r="K76" s="9"/>
      <c r="L76" s="7"/>
      <c r="M76" s="11">
        <f t="shared" si="6"/>
        <v>171</v>
      </c>
      <c r="N76" s="11">
        <f t="shared" si="7"/>
        <v>194</v>
      </c>
    </row>
    <row r="77" spans="1:14" x14ac:dyDescent="0.2">
      <c r="A77" s="6" t="s">
        <v>106</v>
      </c>
      <c r="B77" s="7" t="str">
        <f>IFERROR(VLOOKUP(A77,'[1]Owners List'!$A$2:$B$2550,2,FALSE),"")</f>
        <v>Nakhal Ahlia Investment Company SOAC</v>
      </c>
      <c r="C77" s="43" t="s">
        <v>234</v>
      </c>
      <c r="D77" s="8" t="s">
        <v>12</v>
      </c>
      <c r="E77" s="45">
        <v>0</v>
      </c>
      <c r="F77" s="9">
        <v>800</v>
      </c>
      <c r="G77" s="46" t="s">
        <v>343</v>
      </c>
      <c r="H77" s="9"/>
      <c r="I77" s="9">
        <f t="shared" si="8"/>
        <v>40</v>
      </c>
      <c r="J77" s="9"/>
      <c r="K77" s="9"/>
      <c r="L77" s="5"/>
      <c r="M77" s="11">
        <f t="shared" si="6"/>
        <v>760</v>
      </c>
      <c r="N77" s="11">
        <f t="shared" si="7"/>
        <v>0</v>
      </c>
    </row>
    <row r="78" spans="1:14" x14ac:dyDescent="0.2">
      <c r="A78" s="6" t="s">
        <v>107</v>
      </c>
      <c r="B78" s="7" t="str">
        <f>IFERROR(VLOOKUP(A78,'[1]Owners List'!$A$2:$B$2550,2,FALSE),"")</f>
        <v>YAQOOB YAHYA SULAIMAN AL KINDI</v>
      </c>
      <c r="C78" s="43" t="s">
        <v>283</v>
      </c>
      <c r="D78" s="8" t="s">
        <v>108</v>
      </c>
      <c r="E78" s="45">
        <v>0</v>
      </c>
      <c r="F78" s="9">
        <v>55</v>
      </c>
      <c r="G78" s="46" t="s">
        <v>344</v>
      </c>
      <c r="H78" s="9"/>
      <c r="I78" s="9">
        <f t="shared" si="8"/>
        <v>2.75</v>
      </c>
      <c r="J78" s="9"/>
      <c r="K78" s="9"/>
      <c r="L78" s="7"/>
      <c r="M78" s="11">
        <f t="shared" si="6"/>
        <v>52.25</v>
      </c>
      <c r="N78" s="11">
        <f t="shared" si="7"/>
        <v>0</v>
      </c>
    </row>
    <row r="79" spans="1:14" x14ac:dyDescent="0.2">
      <c r="A79" s="6" t="s">
        <v>109</v>
      </c>
      <c r="B79" s="7" t="str">
        <f>IFERROR(VLOOKUP(A79,'[1]Owners List'!$A$2:$B$2550,2,FALSE),"")</f>
        <v>YAQOOB YAHYA SULAIMAN AL KINDI</v>
      </c>
      <c r="C79" s="43" t="s">
        <v>283</v>
      </c>
      <c r="D79" s="8" t="s">
        <v>108</v>
      </c>
      <c r="E79" s="45">
        <v>0</v>
      </c>
      <c r="F79" s="9">
        <v>55</v>
      </c>
      <c r="G79" s="46" t="s">
        <v>344</v>
      </c>
      <c r="H79" s="9"/>
      <c r="I79" s="9">
        <f t="shared" si="8"/>
        <v>2.75</v>
      </c>
      <c r="J79" s="9"/>
      <c r="K79" s="9"/>
      <c r="L79" s="7"/>
      <c r="M79" s="11">
        <f t="shared" si="6"/>
        <v>52.25</v>
      </c>
      <c r="N79" s="11">
        <f t="shared" si="7"/>
        <v>0</v>
      </c>
    </row>
    <row r="80" spans="1:14" x14ac:dyDescent="0.2">
      <c r="A80" s="6" t="s">
        <v>110</v>
      </c>
      <c r="B80" s="7" t="str">
        <f>IFERROR(VLOOKUP(A80,'[1]Owners List'!$A$2:$B$2550,2,FALSE),"")</f>
        <v>YAQOOB YAHYA SULAIMAN AL KINDI</v>
      </c>
      <c r="C80" s="43" t="s">
        <v>283</v>
      </c>
      <c r="D80" s="8" t="s">
        <v>108</v>
      </c>
      <c r="E80" s="45">
        <v>0</v>
      </c>
      <c r="F80" s="9">
        <v>55</v>
      </c>
      <c r="G80" s="46" t="s">
        <v>344</v>
      </c>
      <c r="H80" s="9"/>
      <c r="I80" s="9">
        <f t="shared" si="8"/>
        <v>2.75</v>
      </c>
      <c r="J80" s="9"/>
      <c r="K80" s="9"/>
      <c r="L80" s="7"/>
      <c r="M80" s="11">
        <f t="shared" si="6"/>
        <v>52.25</v>
      </c>
      <c r="N80" s="11">
        <f t="shared" si="7"/>
        <v>0</v>
      </c>
    </row>
    <row r="81" spans="1:14" x14ac:dyDescent="0.2">
      <c r="A81" s="6" t="s">
        <v>111</v>
      </c>
      <c r="B81" s="7" t="str">
        <f>IFERROR(VLOOKUP(A81,'[1]Owners List'!$A$2:$B$2550,2,FALSE),"")</f>
        <v>YAQOOB YAHYA SULAIMAN AL KINDI</v>
      </c>
      <c r="C81" s="43" t="s">
        <v>283</v>
      </c>
      <c r="D81" s="8" t="s">
        <v>108</v>
      </c>
      <c r="E81" s="45">
        <v>0</v>
      </c>
      <c r="F81" s="9">
        <v>55</v>
      </c>
      <c r="G81" s="46" t="s">
        <v>344</v>
      </c>
      <c r="H81" s="9"/>
      <c r="I81" s="9">
        <f t="shared" si="8"/>
        <v>2.75</v>
      </c>
      <c r="J81" s="9"/>
      <c r="K81" s="9"/>
      <c r="L81" s="7"/>
      <c r="M81" s="11">
        <f t="shared" si="6"/>
        <v>52.25</v>
      </c>
      <c r="N81" s="11">
        <f t="shared" si="7"/>
        <v>0</v>
      </c>
    </row>
    <row r="82" spans="1:14" x14ac:dyDescent="0.2">
      <c r="A82" s="6" t="s">
        <v>112</v>
      </c>
      <c r="B82" s="7" t="str">
        <f>IFERROR(VLOOKUP(A82,'[1]Owners List'!$A$2:$B$2550,2,FALSE),"")</f>
        <v>YAQOOB YAHYA SULAIMAN AL KINDI</v>
      </c>
      <c r="C82" s="43" t="s">
        <v>283</v>
      </c>
      <c r="D82" s="8" t="s">
        <v>108</v>
      </c>
      <c r="E82" s="45">
        <v>0</v>
      </c>
      <c r="F82" s="9">
        <v>65</v>
      </c>
      <c r="G82" s="46" t="s">
        <v>344</v>
      </c>
      <c r="H82" s="9"/>
      <c r="I82" s="9">
        <f t="shared" si="8"/>
        <v>3.25</v>
      </c>
      <c r="J82" s="9"/>
      <c r="K82" s="9"/>
      <c r="L82" s="7"/>
      <c r="M82" s="11">
        <f t="shared" si="6"/>
        <v>61.75</v>
      </c>
      <c r="N82" s="11">
        <f t="shared" si="7"/>
        <v>0</v>
      </c>
    </row>
    <row r="83" spans="1:14" x14ac:dyDescent="0.2">
      <c r="A83" s="6" t="s">
        <v>113</v>
      </c>
      <c r="B83" s="7" t="str">
        <f>IFERROR(VLOOKUP(A83,'[1]Owners List'!$A$2:$B$2550,2,FALSE),"")</f>
        <v>YAQOOB YAHYA SULAIMAN AL KINDI</v>
      </c>
      <c r="C83" s="43" t="s">
        <v>283</v>
      </c>
      <c r="D83" s="8" t="s">
        <v>108</v>
      </c>
      <c r="E83" s="45">
        <v>0</v>
      </c>
      <c r="F83" s="9">
        <v>65</v>
      </c>
      <c r="G83" s="46" t="s">
        <v>344</v>
      </c>
      <c r="H83" s="9"/>
      <c r="I83" s="9">
        <f t="shared" si="8"/>
        <v>3.25</v>
      </c>
      <c r="J83" s="9"/>
      <c r="K83" s="9"/>
      <c r="L83" s="7"/>
      <c r="M83" s="11">
        <f t="shared" si="6"/>
        <v>61.75</v>
      </c>
      <c r="N83" s="11">
        <f t="shared" si="7"/>
        <v>0</v>
      </c>
    </row>
    <row r="84" spans="1:14" x14ac:dyDescent="0.2">
      <c r="A84" s="6" t="s">
        <v>114</v>
      </c>
      <c r="B84" s="7" t="str">
        <f>IFERROR(VLOOKUP(A84,'[1]Owners List'!$A$2:$B$2550,2,FALSE),"")</f>
        <v>FATIMA AHMED ALI AL AJMI</v>
      </c>
      <c r="C84" s="43" t="s">
        <v>284</v>
      </c>
      <c r="D84" s="8" t="s">
        <v>115</v>
      </c>
      <c r="E84" s="45">
        <v>0</v>
      </c>
      <c r="F84" s="9">
        <v>120</v>
      </c>
      <c r="G84" s="46">
        <v>45505</v>
      </c>
      <c r="H84" s="9"/>
      <c r="I84" s="9">
        <f t="shared" si="8"/>
        <v>6</v>
      </c>
      <c r="J84" s="9"/>
      <c r="K84" s="9"/>
      <c r="L84" s="9"/>
      <c r="M84" s="11">
        <f t="shared" si="6"/>
        <v>114</v>
      </c>
      <c r="N84" s="11">
        <f t="shared" si="7"/>
        <v>0</v>
      </c>
    </row>
    <row r="85" spans="1:14" x14ac:dyDescent="0.2">
      <c r="A85" s="6" t="s">
        <v>116</v>
      </c>
      <c r="B85" s="7" t="str">
        <f>IFERROR(VLOOKUP(A85,'[1]Owners List'!$A$2:$B$2550,2,FALSE),"")</f>
        <v>BASHEER SALIM ABDULLAH ALRIYAMI</v>
      </c>
      <c r="C85" s="43" t="s">
        <v>285</v>
      </c>
      <c r="D85" s="8" t="s">
        <v>117</v>
      </c>
      <c r="E85" s="45">
        <v>0</v>
      </c>
      <c r="F85" s="9">
        <v>70</v>
      </c>
      <c r="G85" s="46">
        <v>45505</v>
      </c>
      <c r="H85" s="9"/>
      <c r="I85" s="9">
        <f t="shared" si="8"/>
        <v>3.5</v>
      </c>
      <c r="J85" s="9"/>
      <c r="K85" s="9"/>
      <c r="L85" s="9"/>
      <c r="M85" s="11">
        <f t="shared" si="6"/>
        <v>66.5</v>
      </c>
      <c r="N85" s="11">
        <f t="shared" si="7"/>
        <v>0</v>
      </c>
    </row>
    <row r="86" spans="1:14" x14ac:dyDescent="0.2">
      <c r="A86" s="6" t="s">
        <v>118</v>
      </c>
      <c r="B86" s="7" t="str">
        <f>IFERROR(VLOOKUP(A86,'[1]Owners List'!$A$2:$B$2550,2,FALSE),"")</f>
        <v>AWADH ABDULLAH NABHAN ALAMRI</v>
      </c>
      <c r="C86" s="43" t="s">
        <v>286</v>
      </c>
      <c r="D86" s="8" t="s">
        <v>119</v>
      </c>
      <c r="E86" s="45">
        <v>0</v>
      </c>
      <c r="F86" s="9">
        <v>90</v>
      </c>
      <c r="G86" s="46">
        <v>45352</v>
      </c>
      <c r="H86" s="9"/>
      <c r="I86" s="9">
        <f t="shared" si="8"/>
        <v>4.5</v>
      </c>
      <c r="J86" s="9"/>
      <c r="K86" s="9"/>
      <c r="L86" s="9"/>
      <c r="M86" s="11">
        <f t="shared" si="6"/>
        <v>85.5</v>
      </c>
      <c r="N86" s="11">
        <f t="shared" si="7"/>
        <v>0</v>
      </c>
    </row>
    <row r="87" spans="1:14" x14ac:dyDescent="0.2">
      <c r="A87" s="6" t="s">
        <v>120</v>
      </c>
      <c r="B87" s="7" t="str">
        <f>IFERROR(VLOOKUP(A87,'[1]Owners List'!$A$2:$B$2550,2,FALSE),"")</f>
        <v>AMIRA JUMA SALMEEN AL JABRI</v>
      </c>
      <c r="C87" s="43" t="s">
        <v>287</v>
      </c>
      <c r="D87" s="8" t="s">
        <v>121</v>
      </c>
      <c r="E87" s="45">
        <v>0</v>
      </c>
      <c r="F87" s="9">
        <v>140</v>
      </c>
      <c r="G87" s="46" t="s">
        <v>333</v>
      </c>
      <c r="H87" s="9"/>
      <c r="I87" s="9">
        <f t="shared" si="8"/>
        <v>7</v>
      </c>
      <c r="J87" s="9"/>
      <c r="K87" s="9"/>
      <c r="L87" s="9"/>
      <c r="M87" s="11">
        <f t="shared" si="6"/>
        <v>133</v>
      </c>
      <c r="N87" s="11">
        <f t="shared" si="7"/>
        <v>0</v>
      </c>
    </row>
    <row r="88" spans="1:14" x14ac:dyDescent="0.2">
      <c r="A88" s="6" t="s">
        <v>122</v>
      </c>
      <c r="B88" s="7" t="str">
        <f>IFERROR(VLOOKUP(A88,'[1]Owners List'!$A$2:$B$2550,2,FALSE),"")</f>
        <v>HAMIDA NASSER ALI AL ZADJALI</v>
      </c>
      <c r="C88" s="43" t="s">
        <v>288</v>
      </c>
      <c r="D88" s="8" t="s">
        <v>123</v>
      </c>
      <c r="E88" s="45">
        <v>0</v>
      </c>
      <c r="F88" s="9">
        <v>70</v>
      </c>
      <c r="G88" s="46">
        <v>45352</v>
      </c>
      <c r="H88" s="9"/>
      <c r="I88" s="9">
        <f t="shared" si="8"/>
        <v>3.5</v>
      </c>
      <c r="J88" s="9"/>
      <c r="K88" s="9"/>
      <c r="L88" s="9"/>
      <c r="M88" s="11">
        <f t="shared" si="6"/>
        <v>66.5</v>
      </c>
      <c r="N88" s="11">
        <f t="shared" si="7"/>
        <v>0</v>
      </c>
    </row>
    <row r="89" spans="1:14" x14ac:dyDescent="0.2">
      <c r="A89" s="6" t="s">
        <v>124</v>
      </c>
      <c r="B89" s="7" t="str">
        <f>IFERROR(VLOOKUP(A89,'[1]Owners List'!$A$2:$B$2550,2,FALSE),"")</f>
        <v>ALI ABDULMUN'EM IBRAHIM AL MUAINI</v>
      </c>
      <c r="C89" s="43" t="s">
        <v>289</v>
      </c>
      <c r="D89" s="8" t="s">
        <v>125</v>
      </c>
      <c r="E89" s="45">
        <v>0</v>
      </c>
      <c r="F89" s="9">
        <v>70</v>
      </c>
      <c r="G89" s="46">
        <v>45474</v>
      </c>
      <c r="H89" s="9"/>
      <c r="I89" s="9">
        <f t="shared" si="8"/>
        <v>3.5</v>
      </c>
      <c r="J89" s="9"/>
      <c r="K89" s="9"/>
      <c r="L89" s="9"/>
      <c r="M89" s="11">
        <f t="shared" si="6"/>
        <v>66.5</v>
      </c>
      <c r="N89" s="11">
        <f t="shared" si="7"/>
        <v>0</v>
      </c>
    </row>
    <row r="90" spans="1:14" x14ac:dyDescent="0.2">
      <c r="A90" s="6" t="s">
        <v>126</v>
      </c>
      <c r="B90" s="7" t="str">
        <f>IFERROR(VLOOKUP(A90,'[1]Owners List'!$A$2:$B$2550,2,FALSE),"")</f>
        <v>AISHA AHMED MOHAMED ALHARTHI</v>
      </c>
      <c r="C90" s="43" t="s">
        <v>236</v>
      </c>
      <c r="D90" s="8" t="s">
        <v>15</v>
      </c>
      <c r="E90" s="45">
        <v>708</v>
      </c>
      <c r="F90" s="9">
        <v>300</v>
      </c>
      <c r="G90" s="46" t="s">
        <v>345</v>
      </c>
      <c r="H90" s="9">
        <v>54</v>
      </c>
      <c r="I90" s="9">
        <f t="shared" si="8"/>
        <v>15</v>
      </c>
      <c r="J90" s="9"/>
      <c r="K90" s="9">
        <v>231</v>
      </c>
      <c r="L90" s="7"/>
      <c r="M90" s="11">
        <f t="shared" si="6"/>
        <v>0</v>
      </c>
      <c r="N90" s="11">
        <f t="shared" si="7"/>
        <v>477</v>
      </c>
    </row>
    <row r="91" spans="1:14" x14ac:dyDescent="0.2">
      <c r="A91" s="6" t="s">
        <v>127</v>
      </c>
      <c r="B91" s="7" t="str">
        <f>IFERROR(VLOOKUP(A91,'[1]Owners List'!$A$2:$B$2550,2,FALSE),"")</f>
        <v>ABDULLAH KHATAR MARRASH AL HINAI</v>
      </c>
      <c r="C91" s="43" t="s">
        <v>290</v>
      </c>
      <c r="D91" s="8" t="s">
        <v>128</v>
      </c>
      <c r="E91" s="45">
        <v>0</v>
      </c>
      <c r="F91" s="9">
        <v>150</v>
      </c>
      <c r="G91" s="46">
        <v>45474</v>
      </c>
      <c r="H91" s="9"/>
      <c r="I91" s="9">
        <f t="shared" si="8"/>
        <v>7.5</v>
      </c>
      <c r="J91" s="9"/>
      <c r="K91" s="9"/>
      <c r="L91" s="7"/>
      <c r="M91" s="11">
        <f t="shared" si="6"/>
        <v>142.5</v>
      </c>
      <c r="N91" s="11">
        <f t="shared" si="7"/>
        <v>0</v>
      </c>
    </row>
    <row r="92" spans="1:14" x14ac:dyDescent="0.2">
      <c r="A92" s="6" t="s">
        <v>129</v>
      </c>
      <c r="B92" s="7" t="str">
        <f>IFERROR(VLOOKUP(A92,'[1]Owners List'!$A$2:$B$2550,2,FALSE),"")</f>
        <v>SALIM SULAIMAN SAIF AL MAHRUQI</v>
      </c>
      <c r="C92" s="43" t="s">
        <v>291</v>
      </c>
      <c r="D92" s="8" t="s">
        <v>130</v>
      </c>
      <c r="E92" s="45">
        <v>0</v>
      </c>
      <c r="F92" s="9">
        <v>130</v>
      </c>
      <c r="G92" s="46">
        <v>45536</v>
      </c>
      <c r="H92" s="9"/>
      <c r="I92" s="9">
        <f t="shared" si="8"/>
        <v>6.5</v>
      </c>
      <c r="J92" s="9"/>
      <c r="K92" s="9"/>
      <c r="L92" s="9"/>
      <c r="M92" s="11">
        <f t="shared" si="6"/>
        <v>123.5</v>
      </c>
      <c r="N92" s="11">
        <f t="shared" si="7"/>
        <v>0</v>
      </c>
    </row>
    <row r="93" spans="1:14" x14ac:dyDescent="0.2">
      <c r="A93" s="6" t="s">
        <v>131</v>
      </c>
      <c r="B93" s="7" t="str">
        <f>IFERROR(VLOOKUP(A93,'[1]Owners List'!$A$2:$B$2550,2,FALSE),"")</f>
        <v>MOHAMMED SAIF AL HADHARAMI SONS TRAD CO LLC</v>
      </c>
      <c r="C93" s="43" t="s">
        <v>292</v>
      </c>
      <c r="D93" s="8" t="s">
        <v>132</v>
      </c>
      <c r="E93" s="45">
        <v>146.09899999999999</v>
      </c>
      <c r="F93" s="9">
        <v>300</v>
      </c>
      <c r="G93" s="46" t="s">
        <v>333</v>
      </c>
      <c r="H93" s="9">
        <v>54</v>
      </c>
      <c r="I93" s="9">
        <f t="shared" si="8"/>
        <v>15</v>
      </c>
      <c r="J93" s="9">
        <v>15.27</v>
      </c>
      <c r="K93" s="9">
        <v>146.09899999999999</v>
      </c>
      <c r="L93" s="5"/>
      <c r="M93" s="11">
        <f t="shared" si="6"/>
        <v>69.631000000000014</v>
      </c>
      <c r="N93" s="11">
        <f t="shared" si="7"/>
        <v>0</v>
      </c>
    </row>
    <row r="94" spans="1:14" x14ac:dyDescent="0.2">
      <c r="A94" s="6" t="s">
        <v>133</v>
      </c>
      <c r="B94" s="7" t="str">
        <f>IFERROR(VLOOKUP(A94,'[1]Owners List'!$A$2:$B$2550,2,FALSE),"")</f>
        <v>SAMEER HAMED NASSER AL SIYABI</v>
      </c>
      <c r="C94" s="43" t="s">
        <v>293</v>
      </c>
      <c r="D94" s="8" t="s">
        <v>134</v>
      </c>
      <c r="E94" s="45">
        <v>0</v>
      </c>
      <c r="F94" s="9">
        <v>70</v>
      </c>
      <c r="G94" s="46">
        <v>45474</v>
      </c>
      <c r="H94" s="9"/>
      <c r="I94" s="9">
        <f t="shared" si="8"/>
        <v>3.5</v>
      </c>
      <c r="J94" s="9"/>
      <c r="K94" s="9"/>
      <c r="L94" s="7"/>
      <c r="M94" s="11">
        <f t="shared" si="6"/>
        <v>66.5</v>
      </c>
      <c r="N94" s="11">
        <f t="shared" si="7"/>
        <v>0</v>
      </c>
    </row>
    <row r="95" spans="1:14" x14ac:dyDescent="0.2">
      <c r="A95" s="6" t="s">
        <v>135</v>
      </c>
      <c r="B95" s="7" t="str">
        <f>IFERROR(VLOOKUP(A95,'[1]Owners List'!$A$2:$B$2550,2,FALSE),"")</f>
        <v>SAID SALIM THABIT MOHAMMED AL AMRI</v>
      </c>
      <c r="C95" s="43" t="s">
        <v>294</v>
      </c>
      <c r="D95" s="8" t="s">
        <v>136</v>
      </c>
      <c r="E95" s="45">
        <v>-80.599999999999994</v>
      </c>
      <c r="F95" s="9">
        <v>80</v>
      </c>
      <c r="G95" s="46">
        <v>45474</v>
      </c>
      <c r="H95" s="9"/>
      <c r="I95" s="9">
        <f t="shared" si="8"/>
        <v>4</v>
      </c>
      <c r="J95" s="9"/>
      <c r="K95" s="9"/>
      <c r="L95" s="7"/>
      <c r="M95" s="11">
        <f t="shared" si="6"/>
        <v>76</v>
      </c>
      <c r="N95" s="11">
        <f t="shared" si="7"/>
        <v>-80.599999999999994</v>
      </c>
    </row>
    <row r="96" spans="1:14" x14ac:dyDescent="0.2">
      <c r="A96" s="6" t="s">
        <v>137</v>
      </c>
      <c r="B96" s="7" t="str">
        <f>IFERROR(VLOOKUP(A96,'[1]Owners List'!$A$2:$B$2550,2,FALSE),"")</f>
        <v>AHMED HAMED MOHAMMED AL GHAFRI</v>
      </c>
      <c r="C96" s="43" t="s">
        <v>295</v>
      </c>
      <c r="D96" s="8" t="s">
        <v>138</v>
      </c>
      <c r="E96" s="45">
        <v>0</v>
      </c>
      <c r="F96" s="9">
        <v>120</v>
      </c>
      <c r="G96" s="46">
        <v>45505</v>
      </c>
      <c r="H96" s="9"/>
      <c r="I96" s="13">
        <f t="shared" si="8"/>
        <v>6</v>
      </c>
      <c r="J96" s="9"/>
      <c r="K96" s="9"/>
      <c r="L96" s="9"/>
      <c r="M96" s="13">
        <f t="shared" si="6"/>
        <v>114</v>
      </c>
      <c r="N96" s="11">
        <f t="shared" si="7"/>
        <v>0</v>
      </c>
    </row>
    <row r="97" spans="1:14" x14ac:dyDescent="0.2">
      <c r="A97" s="6" t="s">
        <v>139</v>
      </c>
      <c r="B97" s="7" t="str">
        <f>IFERROR(VLOOKUP(A97,'[1]Owners List'!$A$2:$B$2550,2,FALSE),"")</f>
        <v>SAMEER HAMED NASSER AL SIYABI</v>
      </c>
      <c r="C97" s="43" t="s">
        <v>293</v>
      </c>
      <c r="D97" s="8" t="s">
        <v>134</v>
      </c>
      <c r="E97" s="45">
        <v>0</v>
      </c>
      <c r="F97" s="9">
        <v>100</v>
      </c>
      <c r="G97" s="46">
        <v>45474</v>
      </c>
      <c r="H97" s="9"/>
      <c r="I97" s="9">
        <f t="shared" si="8"/>
        <v>5</v>
      </c>
      <c r="J97" s="9"/>
      <c r="K97" s="9"/>
      <c r="L97" s="7"/>
      <c r="M97" s="11">
        <f t="shared" si="6"/>
        <v>95</v>
      </c>
      <c r="N97" s="11">
        <f t="shared" si="7"/>
        <v>0</v>
      </c>
    </row>
    <row r="98" spans="1:14" x14ac:dyDescent="0.2">
      <c r="A98" s="6" t="s">
        <v>140</v>
      </c>
      <c r="B98" s="7" t="str">
        <f>IFERROR(VLOOKUP(A98,'[1]Owners List'!$A$2:$B$2550,2,FALSE),"")</f>
        <v>ISMAIL AHMED NASSER AL JAHDHAMI</v>
      </c>
      <c r="C98" s="43" t="s">
        <v>296</v>
      </c>
      <c r="D98" s="8" t="s">
        <v>141</v>
      </c>
      <c r="E98" s="45">
        <v>594.1</v>
      </c>
      <c r="F98" s="9">
        <v>1500</v>
      </c>
      <c r="G98" s="46" t="s">
        <v>346</v>
      </c>
      <c r="H98" s="9">
        <v>54</v>
      </c>
      <c r="I98" s="9">
        <f t="shared" si="8"/>
        <v>75</v>
      </c>
      <c r="J98" s="9">
        <v>54</v>
      </c>
      <c r="K98" s="9">
        <v>594.1</v>
      </c>
      <c r="L98" s="7"/>
      <c r="M98" s="11">
        <f t="shared" ref="M98:M129" si="9">F98-H98-I98-K98-J98-L98</f>
        <v>722.9</v>
      </c>
      <c r="N98" s="11">
        <f t="shared" si="7"/>
        <v>0</v>
      </c>
    </row>
    <row r="99" spans="1:14" x14ac:dyDescent="0.2">
      <c r="A99" s="6" t="s">
        <v>142</v>
      </c>
      <c r="B99" s="7" t="str">
        <f>IFERROR(VLOOKUP(A99,'[1]Owners List'!$A$2:$B$2550,2,FALSE),"")</f>
        <v>KHARIA MUHAMMED AL GHSANIAH</v>
      </c>
      <c r="C99" s="43" t="s">
        <v>297</v>
      </c>
      <c r="D99" s="8" t="s">
        <v>15</v>
      </c>
      <c r="E99" s="45">
        <v>347.1</v>
      </c>
      <c r="F99" s="9">
        <v>160</v>
      </c>
      <c r="G99" s="46">
        <v>45505</v>
      </c>
      <c r="H99" s="9"/>
      <c r="I99" s="13">
        <f t="shared" si="8"/>
        <v>8</v>
      </c>
      <c r="J99" s="9"/>
      <c r="K99" s="9"/>
      <c r="L99" s="9"/>
      <c r="M99" s="13">
        <f t="shared" si="9"/>
        <v>152</v>
      </c>
      <c r="N99" s="11">
        <f t="shared" si="7"/>
        <v>347.1</v>
      </c>
    </row>
    <row r="100" spans="1:14" x14ac:dyDescent="0.2">
      <c r="A100" s="6" t="s">
        <v>143</v>
      </c>
      <c r="B100" s="7" t="str">
        <f>IFERROR(VLOOKUP(A100,'[1]Owners List'!$A$2:$B$2550,2,FALSE),"")</f>
        <v>Nakhal Ahlia Investment Company SOAC</v>
      </c>
      <c r="C100" s="43" t="s">
        <v>234</v>
      </c>
      <c r="D100" s="8" t="s">
        <v>12</v>
      </c>
      <c r="E100" s="45">
        <v>1891.5</v>
      </c>
      <c r="F100" s="9">
        <v>1600</v>
      </c>
      <c r="G100" s="46">
        <v>45528</v>
      </c>
      <c r="H100" s="9"/>
      <c r="I100" s="9">
        <f t="shared" si="8"/>
        <v>80</v>
      </c>
      <c r="J100" s="9"/>
      <c r="K100" s="9">
        <v>300</v>
      </c>
      <c r="L100" s="5"/>
      <c r="M100" s="11">
        <f t="shared" si="9"/>
        <v>1220</v>
      </c>
      <c r="N100" s="11">
        <f t="shared" si="7"/>
        <v>1591.5</v>
      </c>
    </row>
    <row r="101" spans="1:14" x14ac:dyDescent="0.2">
      <c r="A101" s="6" t="s">
        <v>144</v>
      </c>
      <c r="B101" s="7" t="str">
        <f>IFERROR(VLOOKUP(A101,'[1]Owners List'!$A$2:$B$2550,2,FALSE),"")</f>
        <v>KHALAF SAID SULAIMAN AL HASHAMI</v>
      </c>
      <c r="C101" s="43" t="s">
        <v>298</v>
      </c>
      <c r="D101" s="8" t="s">
        <v>145</v>
      </c>
      <c r="E101" s="45">
        <v>0</v>
      </c>
      <c r="F101" s="9">
        <v>100</v>
      </c>
      <c r="G101" s="46">
        <v>45528</v>
      </c>
      <c r="H101" s="9"/>
      <c r="I101" s="9">
        <f t="shared" si="8"/>
        <v>5</v>
      </c>
      <c r="J101" s="9"/>
      <c r="K101" s="9"/>
      <c r="L101" s="7"/>
      <c r="M101" s="11">
        <f t="shared" si="9"/>
        <v>95</v>
      </c>
      <c r="N101" s="11">
        <f t="shared" si="7"/>
        <v>0</v>
      </c>
    </row>
    <row r="102" spans="1:14" x14ac:dyDescent="0.2">
      <c r="A102" s="6" t="s">
        <v>146</v>
      </c>
      <c r="B102" s="7" t="str">
        <f>IFERROR(VLOOKUP(A102,'[1]Owners List'!$A$2:$B$2550,2,FALSE),"")</f>
        <v>BADER MOHAMMED SULAIMAN AL SIYABI</v>
      </c>
      <c r="C102" s="43" t="s">
        <v>299</v>
      </c>
      <c r="D102" s="8" t="s">
        <v>147</v>
      </c>
      <c r="E102" s="45">
        <v>0</v>
      </c>
      <c r="F102" s="9">
        <v>500</v>
      </c>
      <c r="G102" s="46">
        <v>45505</v>
      </c>
      <c r="H102" s="9"/>
      <c r="I102" s="9">
        <f t="shared" si="8"/>
        <v>25</v>
      </c>
      <c r="J102" s="9"/>
      <c r="K102" s="9"/>
      <c r="L102" s="7"/>
      <c r="M102" s="11">
        <f t="shared" si="9"/>
        <v>475</v>
      </c>
      <c r="N102" s="11">
        <f t="shared" si="7"/>
        <v>0</v>
      </c>
    </row>
    <row r="103" spans="1:14" x14ac:dyDescent="0.2">
      <c r="A103" s="6" t="s">
        <v>148</v>
      </c>
      <c r="B103" s="7" t="str">
        <f>IFERROR(VLOOKUP(A103,'[1]Owners List'!$A$2:$B$2550,2,FALSE),"")</f>
        <v>AISHA ABDULLAH AHMED AL KINDI</v>
      </c>
      <c r="C103" s="43" t="s">
        <v>300</v>
      </c>
      <c r="D103" s="8" t="s">
        <v>149</v>
      </c>
      <c r="E103" s="45">
        <v>0</v>
      </c>
      <c r="F103" s="9">
        <v>70</v>
      </c>
      <c r="G103" s="46">
        <v>45528</v>
      </c>
      <c r="H103" s="9"/>
      <c r="I103" s="9">
        <f t="shared" si="8"/>
        <v>3.5</v>
      </c>
      <c r="J103" s="9"/>
      <c r="K103" s="9"/>
      <c r="L103" s="5"/>
      <c r="M103" s="11">
        <f t="shared" si="9"/>
        <v>66.5</v>
      </c>
      <c r="N103" s="11">
        <f t="shared" si="7"/>
        <v>0</v>
      </c>
    </row>
    <row r="104" spans="1:14" x14ac:dyDescent="0.2">
      <c r="A104" s="6" t="s">
        <v>150</v>
      </c>
      <c r="B104" s="7" t="str">
        <f>IFERROR(VLOOKUP(A104,'[1]Owners List'!$A$2:$B$2550,2,FALSE),"")</f>
        <v>Khulood Jaber Taskar Al Awaira</v>
      </c>
      <c r="C104" s="43" t="s">
        <v>301</v>
      </c>
      <c r="D104" s="8" t="s">
        <v>151</v>
      </c>
      <c r="E104" s="45">
        <v>0</v>
      </c>
      <c r="F104" s="9">
        <v>70</v>
      </c>
      <c r="G104" s="46">
        <v>45474</v>
      </c>
      <c r="H104" s="9"/>
      <c r="I104" s="9">
        <f t="shared" si="8"/>
        <v>3.5</v>
      </c>
      <c r="J104" s="9">
        <v>7.25</v>
      </c>
      <c r="K104" s="9"/>
      <c r="L104" s="7"/>
      <c r="M104" s="11">
        <f t="shared" si="9"/>
        <v>59.25</v>
      </c>
      <c r="N104" s="11">
        <f t="shared" si="7"/>
        <v>0</v>
      </c>
    </row>
    <row r="105" spans="1:14" x14ac:dyDescent="0.2">
      <c r="A105" s="6" t="s">
        <v>152</v>
      </c>
      <c r="B105" s="7" t="str">
        <f>IFERROR(VLOOKUP(A105,'[1]Owners List'!$A$2:$B$2550,2,FALSE),"")</f>
        <v>KHAMIS HAMEED SULIAMAN AL BUSAIDE</v>
      </c>
      <c r="C105" s="43" t="s">
        <v>302</v>
      </c>
      <c r="D105" s="8" t="s">
        <v>153</v>
      </c>
      <c r="E105" s="45">
        <v>94.4</v>
      </c>
      <c r="F105" s="15">
        <v>70</v>
      </c>
      <c r="G105" s="46">
        <v>45505</v>
      </c>
      <c r="H105" s="9"/>
      <c r="I105" s="9">
        <f t="shared" si="8"/>
        <v>3.5</v>
      </c>
      <c r="J105" s="9"/>
      <c r="K105" s="9">
        <v>66.5</v>
      </c>
      <c r="L105" s="7"/>
      <c r="M105" s="11">
        <f t="shared" si="9"/>
        <v>0</v>
      </c>
      <c r="N105" s="11">
        <f t="shared" si="7"/>
        <v>27.900000000000006</v>
      </c>
    </row>
    <row r="106" spans="1:14" x14ac:dyDescent="0.2">
      <c r="A106" s="6" t="s">
        <v>154</v>
      </c>
      <c r="B106" s="7" t="str">
        <f>IFERROR(VLOOKUP(A106,'[1]Owners List'!$A$2:$B$2550,2,FALSE),"")</f>
        <v>SALIM HAMOOD MOHAMED AL HARTHI</v>
      </c>
      <c r="C106" s="43" t="s">
        <v>303</v>
      </c>
      <c r="D106" s="8" t="s">
        <v>155</v>
      </c>
      <c r="E106" s="45">
        <v>0</v>
      </c>
      <c r="F106" s="9">
        <v>70</v>
      </c>
      <c r="G106" s="46">
        <v>45505</v>
      </c>
      <c r="H106" s="9"/>
      <c r="I106" s="9">
        <f t="shared" si="8"/>
        <v>3.5</v>
      </c>
      <c r="J106" s="9">
        <v>25.2</v>
      </c>
      <c r="K106" s="9"/>
      <c r="L106" s="9"/>
      <c r="M106" s="11">
        <f t="shared" si="9"/>
        <v>41.3</v>
      </c>
      <c r="N106" s="11">
        <f t="shared" si="7"/>
        <v>0</v>
      </c>
    </row>
    <row r="107" spans="1:14" x14ac:dyDescent="0.2">
      <c r="A107" s="6" t="s">
        <v>156</v>
      </c>
      <c r="B107" s="7" t="str">
        <f>IFERROR(VLOOKUP(A107,'[1]Owners List'!$A$2:$B$2550,2,FALSE),"")</f>
        <v>ZAHIR SAID ABDULLAH AL RASHDI</v>
      </c>
      <c r="C107" s="43" t="s">
        <v>304</v>
      </c>
      <c r="D107" s="8" t="s">
        <v>157</v>
      </c>
      <c r="E107" s="45">
        <v>135.69999999999999</v>
      </c>
      <c r="F107" s="9">
        <v>70</v>
      </c>
      <c r="G107" s="46">
        <v>45444</v>
      </c>
      <c r="H107" s="9">
        <v>25.2</v>
      </c>
      <c r="I107" s="9">
        <f t="shared" ref="I107:I136" si="10">F107*5%</f>
        <v>3.5</v>
      </c>
      <c r="J107" s="9">
        <v>12.012</v>
      </c>
      <c r="K107" s="9">
        <v>29.288</v>
      </c>
      <c r="L107" s="7"/>
      <c r="M107" s="11">
        <f t="shared" si="9"/>
        <v>-3.5527136788005009E-15</v>
      </c>
      <c r="N107" s="11">
        <f t="shared" si="7"/>
        <v>106.41199999999999</v>
      </c>
    </row>
    <row r="108" spans="1:14" x14ac:dyDescent="0.2">
      <c r="A108" s="6" t="s">
        <v>158</v>
      </c>
      <c r="B108" s="7" t="str">
        <f>IFERROR(VLOOKUP(A108,'[1]Owners List'!$A$2:$B$2550,2,FALSE),"")</f>
        <v>ZAHIR SAID ABDULLAH AL RASHDI</v>
      </c>
      <c r="C108" s="43" t="s">
        <v>304</v>
      </c>
      <c r="D108" s="8" t="s">
        <v>157</v>
      </c>
      <c r="E108" s="45">
        <v>135.69999999999999</v>
      </c>
      <c r="F108" s="9">
        <v>70</v>
      </c>
      <c r="G108" s="46">
        <v>45444</v>
      </c>
      <c r="H108" s="9">
        <v>25.2</v>
      </c>
      <c r="I108" s="9">
        <f t="shared" si="10"/>
        <v>3.5</v>
      </c>
      <c r="J108" s="9">
        <v>12.012</v>
      </c>
      <c r="K108" s="9">
        <v>29.288</v>
      </c>
      <c r="L108" s="7"/>
      <c r="M108" s="11">
        <f t="shared" si="9"/>
        <v>-3.5527136788005009E-15</v>
      </c>
      <c r="N108" s="11">
        <f t="shared" si="7"/>
        <v>106.41199999999999</v>
      </c>
    </row>
    <row r="109" spans="1:14" x14ac:dyDescent="0.2">
      <c r="A109" s="6" t="s">
        <v>159</v>
      </c>
      <c r="B109" s="7" t="str">
        <f>IFERROR(VLOOKUP(A109,'[1]Owners List'!$A$2:$B$2550,2,FALSE),"")</f>
        <v>SAUD ALI SAAIYED AL RAHBI</v>
      </c>
      <c r="C109" s="43" t="s">
        <v>305</v>
      </c>
      <c r="D109" s="8" t="s">
        <v>160</v>
      </c>
      <c r="E109" s="45">
        <v>0</v>
      </c>
      <c r="F109" s="9">
        <v>720</v>
      </c>
      <c r="G109" s="46" t="s">
        <v>347</v>
      </c>
      <c r="H109" s="9"/>
      <c r="I109" s="9">
        <f t="shared" si="10"/>
        <v>36</v>
      </c>
      <c r="J109" s="9"/>
      <c r="K109" s="9"/>
      <c r="L109" s="9"/>
      <c r="M109" s="11">
        <f t="shared" si="9"/>
        <v>684</v>
      </c>
      <c r="N109" s="11">
        <f t="shared" si="7"/>
        <v>0</v>
      </c>
    </row>
    <row r="110" spans="1:14" x14ac:dyDescent="0.2">
      <c r="A110" s="6" t="s">
        <v>161</v>
      </c>
      <c r="B110" s="7" t="str">
        <f>IFERROR(VLOOKUP(A110,'[1]Owners List'!$A$2:$B$2550,2,FALSE),"")</f>
        <v>HAMOOD AHMED HAMOOD AL MAAMIRY</v>
      </c>
      <c r="C110" s="43" t="s">
        <v>306</v>
      </c>
      <c r="D110" s="8" t="s">
        <v>162</v>
      </c>
      <c r="E110" s="45">
        <v>194</v>
      </c>
      <c r="F110" s="15">
        <v>150</v>
      </c>
      <c r="G110" s="46">
        <v>45505</v>
      </c>
      <c r="H110" s="9"/>
      <c r="I110" s="9">
        <f t="shared" si="10"/>
        <v>7.5</v>
      </c>
      <c r="J110" s="9"/>
      <c r="K110" s="9">
        <v>142.5</v>
      </c>
      <c r="L110" s="7"/>
      <c r="M110" s="11">
        <f t="shared" si="9"/>
        <v>0</v>
      </c>
      <c r="N110" s="11">
        <f t="shared" si="7"/>
        <v>51.5</v>
      </c>
    </row>
    <row r="111" spans="1:14" x14ac:dyDescent="0.2">
      <c r="A111" s="6" t="s">
        <v>163</v>
      </c>
      <c r="B111" s="7" t="str">
        <f>IFERROR(VLOOKUP(A111,'[1]Owners List'!$A$2:$B$2550,2,FALSE),"")</f>
        <v>SAID MOHAMED ASLAM AL BALUSHI</v>
      </c>
      <c r="C111" s="43" t="s">
        <v>307</v>
      </c>
      <c r="D111" s="8" t="s">
        <v>164</v>
      </c>
      <c r="E111" s="45">
        <v>0</v>
      </c>
      <c r="F111" s="15">
        <v>150</v>
      </c>
      <c r="G111" s="46">
        <v>45505</v>
      </c>
      <c r="H111" s="9"/>
      <c r="I111" s="9">
        <f t="shared" si="10"/>
        <v>7.5</v>
      </c>
      <c r="J111" s="9"/>
      <c r="K111" s="9"/>
      <c r="L111" s="7"/>
      <c r="M111" s="11">
        <f t="shared" si="9"/>
        <v>142.5</v>
      </c>
      <c r="N111" s="11">
        <f t="shared" si="7"/>
        <v>0</v>
      </c>
    </row>
    <row r="112" spans="1:14" x14ac:dyDescent="0.2">
      <c r="A112" s="6" t="s">
        <v>165</v>
      </c>
      <c r="B112" s="7" t="str">
        <f>IFERROR(VLOOKUP(A112,'[1]Owners List'!$A$2:$B$2550,2,FALSE),"")</f>
        <v>YAQOOB SAID AL AMRI</v>
      </c>
      <c r="C112" s="43" t="s">
        <v>308</v>
      </c>
      <c r="D112" s="8" t="s">
        <v>166</v>
      </c>
      <c r="E112" s="45">
        <v>0</v>
      </c>
      <c r="F112" s="9">
        <v>100</v>
      </c>
      <c r="G112" s="46">
        <v>45474</v>
      </c>
      <c r="H112" s="9"/>
      <c r="I112" s="9">
        <f t="shared" si="10"/>
        <v>5</v>
      </c>
      <c r="J112" s="9"/>
      <c r="K112" s="9"/>
      <c r="L112" s="7"/>
      <c r="M112" s="11">
        <f t="shared" si="9"/>
        <v>95</v>
      </c>
      <c r="N112" s="11">
        <f t="shared" si="7"/>
        <v>0</v>
      </c>
    </row>
    <row r="113" spans="1:14" x14ac:dyDescent="0.2">
      <c r="A113" s="6" t="s">
        <v>167</v>
      </c>
      <c r="B113" s="7" t="str">
        <f>IFERROR(VLOOKUP(A113,'[1]Owners List'!$A$2:$B$2550,2,FALSE),"")</f>
        <v>MOHAMED NASSER MOHAMED AL HARRASI</v>
      </c>
      <c r="C113" s="43" t="s">
        <v>309</v>
      </c>
      <c r="D113" s="8" t="s">
        <v>168</v>
      </c>
      <c r="E113" s="45">
        <v>146.09899999999999</v>
      </c>
      <c r="F113" s="15">
        <v>100</v>
      </c>
      <c r="G113" s="46">
        <v>45505</v>
      </c>
      <c r="H113" s="9"/>
      <c r="I113" s="9">
        <f t="shared" si="10"/>
        <v>5</v>
      </c>
      <c r="J113" s="9"/>
      <c r="K113" s="9">
        <v>95</v>
      </c>
      <c r="L113" s="7"/>
      <c r="M113" s="11">
        <f t="shared" si="9"/>
        <v>0</v>
      </c>
      <c r="N113" s="11">
        <f t="shared" si="7"/>
        <v>51.09899999999999</v>
      </c>
    </row>
    <row r="114" spans="1:14" x14ac:dyDescent="0.2">
      <c r="A114" s="6" t="s">
        <v>169</v>
      </c>
      <c r="B114" s="7" t="str">
        <f>IFERROR(VLOOKUP(A114,'[1]Owners List'!$A$2:$B$2550,2,FALSE),"")</f>
        <v>SAND SAED JAMIL AL JABRI</v>
      </c>
      <c r="C114" s="43" t="s">
        <v>310</v>
      </c>
      <c r="D114" s="8" t="s">
        <v>170</v>
      </c>
      <c r="E114" s="45">
        <v>115.85</v>
      </c>
      <c r="F114" s="9">
        <v>380</v>
      </c>
      <c r="G114" s="46" t="s">
        <v>348</v>
      </c>
      <c r="H114" s="9"/>
      <c r="I114" s="9">
        <f t="shared" si="10"/>
        <v>19</v>
      </c>
      <c r="J114" s="9"/>
      <c r="K114" s="9">
        <v>115.85</v>
      </c>
      <c r="L114" s="7"/>
      <c r="M114" s="11">
        <f t="shared" si="9"/>
        <v>245.15</v>
      </c>
      <c r="N114" s="11">
        <f t="shared" si="7"/>
        <v>0</v>
      </c>
    </row>
    <row r="115" spans="1:14" x14ac:dyDescent="0.2">
      <c r="A115" s="6" t="s">
        <v>171</v>
      </c>
      <c r="B115" s="7" t="str">
        <f>IFERROR(VLOOKUP(A115,'[1]Owners List'!$A$2:$B$2550,2,FALSE),"")</f>
        <v>MULOOK MOHAMED ISMAIL AL ZADJALI</v>
      </c>
      <c r="C115" s="43" t="s">
        <v>311</v>
      </c>
      <c r="D115" s="8" t="s">
        <v>172</v>
      </c>
      <c r="E115" s="45">
        <v>-3.0000000000143245E-3</v>
      </c>
      <c r="F115" s="9">
        <v>140</v>
      </c>
      <c r="G115" s="46">
        <v>45505</v>
      </c>
      <c r="H115" s="9"/>
      <c r="I115" s="9">
        <f t="shared" si="10"/>
        <v>7</v>
      </c>
      <c r="J115" s="9"/>
      <c r="K115" s="9"/>
      <c r="L115" s="7"/>
      <c r="M115" s="11">
        <f t="shared" si="9"/>
        <v>133</v>
      </c>
      <c r="N115" s="11">
        <f t="shared" si="7"/>
        <v>-3.0000000000143245E-3</v>
      </c>
    </row>
    <row r="116" spans="1:14" x14ac:dyDescent="0.2">
      <c r="A116" s="6" t="s">
        <v>173</v>
      </c>
      <c r="B116" s="7" t="str">
        <f>IFERROR(VLOOKUP(A116,'[1]Owners List'!$A$2:$B$2550,2,FALSE),"")</f>
        <v>THURAIYA SHAMIS MOHAMED AL SIYABI</v>
      </c>
      <c r="C116" s="43" t="s">
        <v>272</v>
      </c>
      <c r="D116" s="8" t="s">
        <v>85</v>
      </c>
      <c r="E116" s="45">
        <v>0</v>
      </c>
      <c r="F116" s="9">
        <v>60</v>
      </c>
      <c r="G116" s="46">
        <v>45505</v>
      </c>
      <c r="H116" s="9"/>
      <c r="I116" s="9">
        <f t="shared" si="10"/>
        <v>3</v>
      </c>
      <c r="J116" s="9"/>
      <c r="K116" s="9"/>
      <c r="L116" s="9"/>
      <c r="M116" s="11">
        <f t="shared" si="9"/>
        <v>57</v>
      </c>
      <c r="N116" s="11">
        <f t="shared" si="7"/>
        <v>0</v>
      </c>
    </row>
    <row r="117" spans="1:14" x14ac:dyDescent="0.2">
      <c r="A117" s="6" t="s">
        <v>174</v>
      </c>
      <c r="B117" s="7" t="str">
        <f>IFERROR(VLOOKUP(A117,'[1]Owners List'!$A$2:$B$2550,2,FALSE),"")</f>
        <v>YAHYA HILAL AHMED AL MAAWALI</v>
      </c>
      <c r="C117" s="43" t="s">
        <v>312</v>
      </c>
      <c r="D117" s="8" t="s">
        <v>175</v>
      </c>
      <c r="E117" s="45">
        <v>0</v>
      </c>
      <c r="F117" s="9">
        <v>120</v>
      </c>
      <c r="G117" s="46" t="s">
        <v>334</v>
      </c>
      <c r="H117" s="9"/>
      <c r="I117" s="9">
        <f t="shared" si="10"/>
        <v>6</v>
      </c>
      <c r="J117" s="9"/>
      <c r="K117" s="9"/>
      <c r="L117" s="7"/>
      <c r="M117" s="11">
        <f t="shared" si="9"/>
        <v>114</v>
      </c>
      <c r="N117" s="11">
        <f t="shared" si="7"/>
        <v>0</v>
      </c>
    </row>
    <row r="118" spans="1:14" x14ac:dyDescent="0.2">
      <c r="A118" s="6" t="s">
        <v>176</v>
      </c>
      <c r="B118" s="7" t="str">
        <f>IFERROR(VLOOKUP(A118,'[1]Owners List'!$A$2:$B$2550,2,FALSE),"")</f>
        <v>MOHAMED SAID SALIM AL GHAFRI</v>
      </c>
      <c r="C118" s="43" t="s">
        <v>257</v>
      </c>
      <c r="D118" s="8" t="s">
        <v>49</v>
      </c>
      <c r="E118" s="45">
        <v>0</v>
      </c>
      <c r="F118" s="9">
        <v>50</v>
      </c>
      <c r="G118" s="46">
        <v>45474</v>
      </c>
      <c r="H118" s="9"/>
      <c r="I118" s="9">
        <f t="shared" si="10"/>
        <v>2.5</v>
      </c>
      <c r="J118" s="9"/>
      <c r="K118" s="9"/>
      <c r="L118" s="9"/>
      <c r="M118" s="11">
        <f t="shared" si="9"/>
        <v>47.5</v>
      </c>
      <c r="N118" s="11">
        <f t="shared" si="7"/>
        <v>0</v>
      </c>
    </row>
    <row r="119" spans="1:14" x14ac:dyDescent="0.2">
      <c r="A119" s="6" t="s">
        <v>177</v>
      </c>
      <c r="B119" s="7" t="str">
        <f>IFERROR(VLOOKUP(A119,'[1]Owners List'!$A$2:$B$2550,2,FALSE),"")</f>
        <v>SALEM HAMED SALEM AL ISAII</v>
      </c>
      <c r="C119" s="43" t="s">
        <v>313</v>
      </c>
      <c r="D119" s="8" t="s">
        <v>178</v>
      </c>
      <c r="E119" s="45">
        <v>0</v>
      </c>
      <c r="F119" s="9">
        <v>50</v>
      </c>
      <c r="G119" s="46">
        <v>45505</v>
      </c>
      <c r="H119" s="9"/>
      <c r="I119" s="9">
        <f t="shared" si="10"/>
        <v>2.5</v>
      </c>
      <c r="J119" s="9"/>
      <c r="K119" s="9"/>
      <c r="L119" s="7"/>
      <c r="M119" s="11">
        <f t="shared" si="9"/>
        <v>47.5</v>
      </c>
      <c r="N119" s="11">
        <f t="shared" si="7"/>
        <v>0</v>
      </c>
    </row>
    <row r="120" spans="1:14" x14ac:dyDescent="0.2">
      <c r="A120" s="6" t="s">
        <v>179</v>
      </c>
      <c r="B120" s="7" t="str">
        <f>IFERROR(VLOOKUP(A120,'[1]Owners List'!$A$2:$B$2550,2,FALSE),"")</f>
        <v>FAHAD KHAMIS KHALFAN AL ABRI</v>
      </c>
      <c r="C120" s="43" t="s">
        <v>311</v>
      </c>
      <c r="D120" s="8" t="s">
        <v>172</v>
      </c>
      <c r="E120" s="45">
        <v>0</v>
      </c>
      <c r="F120" s="9">
        <v>60</v>
      </c>
      <c r="G120" s="46">
        <v>45528</v>
      </c>
      <c r="H120" s="9"/>
      <c r="I120" s="9">
        <f t="shared" si="10"/>
        <v>3</v>
      </c>
      <c r="J120" s="9"/>
      <c r="K120" s="9"/>
      <c r="L120" s="5"/>
      <c r="M120" s="11">
        <f t="shared" si="9"/>
        <v>57</v>
      </c>
      <c r="N120" s="11">
        <f t="shared" si="7"/>
        <v>0</v>
      </c>
    </row>
    <row r="121" spans="1:14" x14ac:dyDescent="0.2">
      <c r="A121" s="6" t="s">
        <v>180</v>
      </c>
      <c r="B121" s="7" t="str">
        <f>IFERROR(VLOOKUP(A121,'[1]Owners List'!$A$2:$B$2550,2,FALSE),"")</f>
        <v>SALIM SAID AMUR AL QAIDI</v>
      </c>
      <c r="C121" s="43" t="s">
        <v>314</v>
      </c>
      <c r="D121" s="8" t="s">
        <v>181</v>
      </c>
      <c r="E121" s="45">
        <v>0</v>
      </c>
      <c r="F121" s="9">
        <v>50</v>
      </c>
      <c r="G121" s="46">
        <v>45505</v>
      </c>
      <c r="H121" s="9"/>
      <c r="I121" s="9">
        <f t="shared" si="10"/>
        <v>2.5</v>
      </c>
      <c r="J121" s="9"/>
      <c r="K121" s="9"/>
      <c r="L121" s="7"/>
      <c r="M121" s="11">
        <f t="shared" si="9"/>
        <v>47.5</v>
      </c>
      <c r="N121" s="11">
        <f t="shared" si="7"/>
        <v>0</v>
      </c>
    </row>
    <row r="122" spans="1:14" x14ac:dyDescent="0.2">
      <c r="A122" s="6" t="s">
        <v>182</v>
      </c>
      <c r="B122" s="7" t="str">
        <f>IFERROR(VLOOKUP(A122,'[1]Owners List'!$A$2:$B$2550,2,FALSE),"")</f>
        <v>Nakhal Ahlia Investment Company SOAC</v>
      </c>
      <c r="C122" s="43" t="s">
        <v>234</v>
      </c>
      <c r="D122" s="8" t="s">
        <v>12</v>
      </c>
      <c r="E122" s="45">
        <v>120.6</v>
      </c>
      <c r="F122" s="9">
        <v>120</v>
      </c>
      <c r="G122" s="46">
        <v>45444</v>
      </c>
      <c r="H122" s="9"/>
      <c r="I122" s="9">
        <f t="shared" si="10"/>
        <v>6</v>
      </c>
      <c r="J122" s="9"/>
      <c r="K122" s="9"/>
      <c r="L122" s="9"/>
      <c r="M122" s="11">
        <f t="shared" si="9"/>
        <v>114</v>
      </c>
      <c r="N122" s="11">
        <f t="shared" si="7"/>
        <v>120.6</v>
      </c>
    </row>
    <row r="123" spans="1:14" x14ac:dyDescent="0.2">
      <c r="A123" s="6" t="s">
        <v>183</v>
      </c>
      <c r="B123" s="7" t="str">
        <f>IFERROR(VLOOKUP(A123,'[1]Owners List'!$A$2:$B$2550,2,FALSE),"")</f>
        <v>MARYAM SALIM SAROOR AL SALMI</v>
      </c>
      <c r="C123" s="43" t="s">
        <v>315</v>
      </c>
      <c r="D123" s="8" t="s">
        <v>184</v>
      </c>
      <c r="E123" s="45">
        <v>0</v>
      </c>
      <c r="F123" s="9">
        <v>50</v>
      </c>
      <c r="G123" s="46">
        <v>45505</v>
      </c>
      <c r="H123" s="9"/>
      <c r="I123" s="9">
        <f t="shared" si="10"/>
        <v>2.5</v>
      </c>
      <c r="J123" s="9"/>
      <c r="K123" s="9"/>
      <c r="L123" s="9"/>
      <c r="M123" s="11">
        <f t="shared" si="9"/>
        <v>47.5</v>
      </c>
      <c r="N123" s="11">
        <f t="shared" si="7"/>
        <v>0</v>
      </c>
    </row>
    <row r="124" spans="1:14" x14ac:dyDescent="0.2">
      <c r="A124" s="6" t="s">
        <v>185</v>
      </c>
      <c r="B124" s="7" t="str">
        <f>IFERROR(VLOOKUP(A124,'[1]Owners List'!$A$2:$B$2550,2,FALSE),"")</f>
        <v>SULAIMAN HUMAID NASSER AL BADAAI</v>
      </c>
      <c r="C124" s="43" t="s">
        <v>316</v>
      </c>
      <c r="D124" s="8" t="s">
        <v>186</v>
      </c>
      <c r="E124" s="45">
        <v>0</v>
      </c>
      <c r="F124" s="9">
        <v>50</v>
      </c>
      <c r="G124" s="46">
        <v>45505</v>
      </c>
      <c r="H124" s="9"/>
      <c r="I124" s="9">
        <f t="shared" si="10"/>
        <v>2.5</v>
      </c>
      <c r="J124" s="9"/>
      <c r="K124" s="9"/>
      <c r="L124" s="9"/>
      <c r="M124" s="11">
        <f t="shared" si="9"/>
        <v>47.5</v>
      </c>
      <c r="N124" s="11">
        <f t="shared" si="7"/>
        <v>0</v>
      </c>
    </row>
    <row r="125" spans="1:14" x14ac:dyDescent="0.2">
      <c r="A125" s="6" t="s">
        <v>187</v>
      </c>
      <c r="B125" s="7" t="str">
        <f>IFERROR(VLOOKUP(A125,'[1]Owners List'!$A$2:$B$2550,2,FALSE),"")</f>
        <v>SAID HUMAID MOHAMMED AL SUDAIRI</v>
      </c>
      <c r="C125" s="43" t="s">
        <v>317</v>
      </c>
      <c r="D125" s="8" t="s">
        <v>188</v>
      </c>
      <c r="E125" s="45">
        <v>0</v>
      </c>
      <c r="F125" s="9">
        <v>60</v>
      </c>
      <c r="G125" s="46">
        <v>45505</v>
      </c>
      <c r="H125" s="9"/>
      <c r="I125" s="9">
        <f t="shared" si="10"/>
        <v>3</v>
      </c>
      <c r="J125" s="9"/>
      <c r="K125" s="9"/>
      <c r="L125" s="7"/>
      <c r="M125" s="11">
        <f t="shared" si="9"/>
        <v>57</v>
      </c>
      <c r="N125" s="11">
        <f t="shared" si="7"/>
        <v>0</v>
      </c>
    </row>
    <row r="126" spans="1:14" x14ac:dyDescent="0.2">
      <c r="A126" s="6" t="s">
        <v>189</v>
      </c>
      <c r="B126" s="7" t="str">
        <f>IFERROR(VLOOKUP(A126,'[1]Owners List'!$A$2:$B$2550,2,FALSE),"")</f>
        <v>MAZIN HAMDAN SALIM AL SHABIBI</v>
      </c>
      <c r="C126" s="43" t="s">
        <v>318</v>
      </c>
      <c r="D126" s="8" t="s">
        <v>190</v>
      </c>
      <c r="E126" s="45">
        <v>24.299999999999997</v>
      </c>
      <c r="F126" s="9">
        <v>70</v>
      </c>
      <c r="G126" s="46">
        <v>45474</v>
      </c>
      <c r="H126" s="7"/>
      <c r="I126" s="9">
        <f t="shared" si="10"/>
        <v>3.5</v>
      </c>
      <c r="J126" s="7"/>
      <c r="K126" s="7">
        <v>0</v>
      </c>
      <c r="L126" s="7"/>
      <c r="M126" s="11">
        <f t="shared" si="9"/>
        <v>66.5</v>
      </c>
      <c r="N126" s="11">
        <f t="shared" si="7"/>
        <v>24.299999999999997</v>
      </c>
    </row>
    <row r="127" spans="1:14" x14ac:dyDescent="0.2">
      <c r="A127" s="6" t="s">
        <v>191</v>
      </c>
      <c r="B127" s="7" t="str">
        <f>IFERROR(VLOOKUP(A127,'[1]Owners List'!$A$2:$B$2550,2,FALSE),"")</f>
        <v>ADHAM SALEH SAID AL MASKARI</v>
      </c>
      <c r="C127" s="43" t="s">
        <v>270</v>
      </c>
      <c r="D127" s="8" t="s">
        <v>79</v>
      </c>
      <c r="E127" s="45">
        <v>0</v>
      </c>
      <c r="F127" s="9">
        <v>50</v>
      </c>
      <c r="G127" s="46">
        <v>45536</v>
      </c>
      <c r="H127" s="9"/>
      <c r="I127" s="9">
        <f t="shared" si="10"/>
        <v>2.5</v>
      </c>
      <c r="J127" s="9"/>
      <c r="K127" s="9"/>
      <c r="L127" s="9"/>
      <c r="M127" s="11">
        <f t="shared" si="9"/>
        <v>47.5</v>
      </c>
      <c r="N127" s="11">
        <f t="shared" si="7"/>
        <v>0</v>
      </c>
    </row>
    <row r="128" spans="1:14" x14ac:dyDescent="0.2">
      <c r="A128" s="6" t="s">
        <v>192</v>
      </c>
      <c r="B128" s="7" t="str">
        <f>IFERROR(VLOOKUP(A128,'[1]Owners List'!$A$2:$B$2550,2,FALSE),"")</f>
        <v>MOHAMMED ABDULLAH SULAIMAN AL HAJJI</v>
      </c>
      <c r="C128" s="43" t="s">
        <v>319</v>
      </c>
      <c r="D128" s="8" t="s">
        <v>193</v>
      </c>
      <c r="E128" s="45">
        <v>0</v>
      </c>
      <c r="F128" s="9">
        <v>120</v>
      </c>
      <c r="G128" s="46">
        <v>45528</v>
      </c>
      <c r="H128" s="9"/>
      <c r="I128" s="9">
        <f t="shared" si="10"/>
        <v>6</v>
      </c>
      <c r="J128" s="9"/>
      <c r="K128" s="9"/>
      <c r="L128" s="5"/>
      <c r="M128" s="11">
        <f t="shared" si="9"/>
        <v>114</v>
      </c>
      <c r="N128" s="11">
        <f t="shared" si="7"/>
        <v>0</v>
      </c>
    </row>
    <row r="129" spans="1:14" x14ac:dyDescent="0.2">
      <c r="A129" s="6" t="s">
        <v>194</v>
      </c>
      <c r="B129" s="7" t="str">
        <f>IFERROR(VLOOKUP(A129,'[1]Owners List'!$A$2:$B$2550,2,FALSE),"")</f>
        <v>MOHAMMED ABDULLAH SULAIMAN AL HAJJI</v>
      </c>
      <c r="C129" s="43" t="s">
        <v>319</v>
      </c>
      <c r="D129" s="8" t="s">
        <v>193</v>
      </c>
      <c r="E129" s="45">
        <v>0</v>
      </c>
      <c r="F129" s="9">
        <v>120</v>
      </c>
      <c r="G129" s="46">
        <v>45528</v>
      </c>
      <c r="H129" s="9"/>
      <c r="I129" s="9">
        <f t="shared" si="10"/>
        <v>6</v>
      </c>
      <c r="J129" s="9"/>
      <c r="K129" s="9"/>
      <c r="L129" s="5"/>
      <c r="M129" s="11">
        <f t="shared" si="9"/>
        <v>114</v>
      </c>
      <c r="N129" s="11">
        <f t="shared" si="7"/>
        <v>0</v>
      </c>
    </row>
    <row r="130" spans="1:14" x14ac:dyDescent="0.2">
      <c r="A130" s="6" t="s">
        <v>195</v>
      </c>
      <c r="B130" s="7" t="str">
        <f>IFERROR(VLOOKUP(A130,'[1]Owners List'!$A$2:$B$2550,2,FALSE),"")</f>
        <v>NASSER RASHID HAMED AL MUKHAINI</v>
      </c>
      <c r="C130" s="43" t="s">
        <v>320</v>
      </c>
      <c r="D130" s="8" t="s">
        <v>196</v>
      </c>
      <c r="E130" s="45">
        <v>0</v>
      </c>
      <c r="F130" s="9">
        <v>50</v>
      </c>
      <c r="G130" s="46">
        <v>45505</v>
      </c>
      <c r="H130" s="9"/>
      <c r="I130" s="9">
        <f t="shared" si="10"/>
        <v>2.5</v>
      </c>
      <c r="J130" s="9"/>
      <c r="K130" s="9"/>
      <c r="L130" s="7"/>
      <c r="M130" s="11">
        <f t="shared" ref="M130:M136" si="11">F130-H130-I130-K130-J130-L130</f>
        <v>47.5</v>
      </c>
      <c r="N130" s="11">
        <f t="shared" si="7"/>
        <v>0</v>
      </c>
    </row>
    <row r="131" spans="1:14" x14ac:dyDescent="0.2">
      <c r="A131" s="6" t="s">
        <v>197</v>
      </c>
      <c r="B131" s="7" t="str">
        <f>IFERROR(VLOOKUP(A131,'[1]Owners List'!$A$2:$B$2550,2,FALSE),"")</f>
        <v>ASILA SAID MOHAMMED AL SAADI</v>
      </c>
      <c r="C131" s="43" t="s">
        <v>321</v>
      </c>
      <c r="D131" s="8" t="s">
        <v>198</v>
      </c>
      <c r="E131" s="45">
        <v>0</v>
      </c>
      <c r="F131" s="9">
        <v>100</v>
      </c>
      <c r="G131" s="46" t="s">
        <v>349</v>
      </c>
      <c r="H131" s="9"/>
      <c r="I131" s="9">
        <f t="shared" si="10"/>
        <v>5</v>
      </c>
      <c r="J131" s="9"/>
      <c r="K131" s="9"/>
      <c r="L131" s="7"/>
      <c r="M131" s="11">
        <f t="shared" si="11"/>
        <v>95</v>
      </c>
      <c r="N131" s="11">
        <f t="shared" ref="N131:N136" si="12">E131-K131</f>
        <v>0</v>
      </c>
    </row>
    <row r="132" spans="1:14" x14ac:dyDescent="0.2">
      <c r="A132" s="6" t="s">
        <v>199</v>
      </c>
      <c r="B132" s="7" t="str">
        <f>IFERROR(VLOOKUP(A132,'[1]Owners List'!$A$2:$B$2550,2,FALSE),"")</f>
        <v>AYOUB SAAD SAID AL MANDHARI</v>
      </c>
      <c r="C132" s="43" t="s">
        <v>322</v>
      </c>
      <c r="D132" s="8" t="s">
        <v>200</v>
      </c>
      <c r="E132" s="45">
        <v>0</v>
      </c>
      <c r="F132" s="9">
        <v>50</v>
      </c>
      <c r="G132" s="46">
        <v>45505</v>
      </c>
      <c r="H132" s="9"/>
      <c r="I132" s="9">
        <f t="shared" si="10"/>
        <v>2.5</v>
      </c>
      <c r="J132" s="9"/>
      <c r="K132" s="9"/>
      <c r="L132" s="7"/>
      <c r="M132" s="11">
        <f t="shared" si="11"/>
        <v>47.5</v>
      </c>
      <c r="N132" s="11">
        <f t="shared" si="12"/>
        <v>0</v>
      </c>
    </row>
    <row r="133" spans="1:14" x14ac:dyDescent="0.2">
      <c r="A133" s="6" t="s">
        <v>201</v>
      </c>
      <c r="B133" s="7" t="str">
        <f>IFERROR(VLOOKUP(A133,'[1]Owners List'!$A$2:$B$2550,2,FALSE),"")</f>
        <v>IBRAHIM SAID MOHAMMED AL HOSNI</v>
      </c>
      <c r="C133" s="43" t="s">
        <v>323</v>
      </c>
      <c r="D133" s="8" t="s">
        <v>202</v>
      </c>
      <c r="E133" s="45">
        <v>0</v>
      </c>
      <c r="F133" s="9">
        <v>50</v>
      </c>
      <c r="G133" s="46">
        <v>45505</v>
      </c>
      <c r="H133" s="9"/>
      <c r="I133" s="9">
        <f t="shared" si="10"/>
        <v>2.5</v>
      </c>
      <c r="J133" s="9"/>
      <c r="K133" s="9"/>
      <c r="L133" s="9"/>
      <c r="M133" s="11">
        <f t="shared" si="11"/>
        <v>47.5</v>
      </c>
      <c r="N133" s="11">
        <f t="shared" si="12"/>
        <v>0</v>
      </c>
    </row>
    <row r="134" spans="1:14" x14ac:dyDescent="0.2">
      <c r="A134" s="6" t="s">
        <v>203</v>
      </c>
      <c r="B134" s="7" t="str">
        <f>IFERROR(VLOOKUP(A134,'[1]Owners List'!$A$2:$B$2550,2,FALSE),"")</f>
        <v>JUMA ABDULLAH BATI AL BALUSHI</v>
      </c>
      <c r="C134" s="43" t="s">
        <v>324</v>
      </c>
      <c r="D134" s="8" t="s">
        <v>204</v>
      </c>
      <c r="E134" s="45">
        <v>0</v>
      </c>
      <c r="F134" s="9">
        <v>90</v>
      </c>
      <c r="G134" s="46">
        <v>45505</v>
      </c>
      <c r="H134" s="9"/>
      <c r="I134" s="9">
        <f t="shared" si="10"/>
        <v>4.5</v>
      </c>
      <c r="J134" s="9"/>
      <c r="K134" s="9"/>
      <c r="L134" s="9"/>
      <c r="M134" s="11">
        <f t="shared" si="11"/>
        <v>85.5</v>
      </c>
      <c r="N134" s="11">
        <f t="shared" si="12"/>
        <v>0</v>
      </c>
    </row>
    <row r="135" spans="1:14" x14ac:dyDescent="0.2">
      <c r="A135" s="6" t="s">
        <v>205</v>
      </c>
      <c r="B135" s="7" t="str">
        <f>IFERROR(VLOOKUP(A135,'[1]Owners List'!$A$2:$B$2550,2,FALSE),"")</f>
        <v>MAHMOOD ABDALLAH BATI SAID AL BALUSHI</v>
      </c>
      <c r="C135" s="43" t="s">
        <v>325</v>
      </c>
      <c r="D135" s="8" t="s">
        <v>206</v>
      </c>
      <c r="E135" s="45">
        <v>0</v>
      </c>
      <c r="F135" s="9">
        <v>90</v>
      </c>
      <c r="G135" s="46">
        <v>45505</v>
      </c>
      <c r="H135" s="9"/>
      <c r="I135" s="9">
        <f t="shared" si="10"/>
        <v>4.5</v>
      </c>
      <c r="J135" s="9"/>
      <c r="K135" s="9"/>
      <c r="L135" s="9"/>
      <c r="M135" s="11">
        <f t="shared" si="11"/>
        <v>85.5</v>
      </c>
      <c r="N135" s="11">
        <f t="shared" si="12"/>
        <v>0</v>
      </c>
    </row>
    <row r="136" spans="1:14" x14ac:dyDescent="0.2">
      <c r="A136" s="6" t="s">
        <v>207</v>
      </c>
      <c r="B136" s="7" t="str">
        <f>IFERROR(VLOOKUP(A136,'[1]Owners List'!$A$2:$B$2550,2,FALSE),"")</f>
        <v>Marwa Salim Abdulla Al Rahbi</v>
      </c>
      <c r="C136" s="43" t="s">
        <v>326</v>
      </c>
      <c r="D136" s="8" t="s">
        <v>208</v>
      </c>
      <c r="E136" s="45">
        <v>0</v>
      </c>
      <c r="F136" s="9">
        <v>100</v>
      </c>
      <c r="G136" s="46">
        <v>45323</v>
      </c>
      <c r="H136" s="9"/>
      <c r="I136" s="9">
        <f t="shared" si="10"/>
        <v>5</v>
      </c>
      <c r="J136" s="9"/>
      <c r="K136" s="9"/>
      <c r="L136" s="7"/>
      <c r="M136" s="11">
        <f t="shared" si="11"/>
        <v>95</v>
      </c>
      <c r="N136" s="11">
        <f t="shared" si="12"/>
        <v>0</v>
      </c>
    </row>
    <row r="137" spans="1:14" x14ac:dyDescent="0.2">
      <c r="F137" s="16">
        <f t="shared" ref="F137:M137" si="13">SUM(F2:F136)</f>
        <v>28146</v>
      </c>
      <c r="G137" s="16"/>
      <c r="H137" s="16">
        <f t="shared" si="13"/>
        <v>525.6</v>
      </c>
      <c r="I137" s="16">
        <f t="shared" si="13"/>
        <v>1404.3</v>
      </c>
      <c r="J137" s="16">
        <f>SUM(J2:J136)</f>
        <v>359.767</v>
      </c>
      <c r="K137" s="16">
        <f>SUM(K2:K136)</f>
        <v>3871.683</v>
      </c>
      <c r="L137" s="16">
        <f>SUM(L2:L136)</f>
        <v>8</v>
      </c>
      <c r="M137" s="16">
        <f t="shared" si="13"/>
        <v>21976.65</v>
      </c>
      <c r="N137" s="16"/>
    </row>
  </sheetData>
  <sheetProtection autoFilter="0"/>
  <protectedRanges>
    <protectedRange algorithmName="SHA-512" hashValue="FlQsQxJtH+zF7gU+DpggOckyCSkDIbudL5V9wGeaXwd9piOSqYYQlSa0rYmH/LlmR26hHf9fBtSJanmXE/5hJQ==" saltValue="+qMS73dL1QUJ823kOrkc7g==" spinCount="100000" sqref="D3" name="Range1"/>
  </protectedRanges>
  <autoFilter ref="A1:M137" xr:uid="{B2CEBD4A-76CC-4B68-B3EA-C917CFEBBE09}"/>
  <conditionalFormatting sqref="A1:A137">
    <cfRule type="duplicateValues" dxfId="6" priority="8"/>
  </conditionalFormatting>
  <conditionalFormatting sqref="A2:A136">
    <cfRule type="duplicateValues" dxfId="5" priority="3"/>
    <cfRule type="duplicateValues" dxfId="4" priority="6"/>
  </conditionalFormatting>
  <conditionalFormatting sqref="A24:A26">
    <cfRule type="duplicateValues" dxfId="3" priority="2"/>
  </conditionalFormatting>
  <conditionalFormatting sqref="A27">
    <cfRule type="duplicateValues" dxfId="2" priority="1"/>
  </conditionalFormatting>
  <conditionalFormatting sqref="A28:A133">
    <cfRule type="duplicateValues" dxfId="1" priority="4"/>
    <cfRule type="duplicateValues" dxfId="0" priority="5"/>
  </conditionalFormatting>
  <pageMargins left="0.25" right="0.25" top="0.75" bottom="0.75" header="0.3" footer="0.3"/>
  <pageSetup paperSize="9" scale="2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7228-86C7-4F55-AF19-3DF24B896CBA}">
  <dimension ref="A1:C31"/>
  <sheetViews>
    <sheetView topLeftCell="A7" workbookViewId="0">
      <selection activeCell="B34" sqref="B34"/>
    </sheetView>
  </sheetViews>
  <sheetFormatPr defaultRowHeight="15" x14ac:dyDescent="0.25"/>
  <cols>
    <col min="1" max="1" width="44.7109375" customWidth="1"/>
    <col min="2" max="2" width="41.140625" customWidth="1"/>
  </cols>
  <sheetData>
    <row r="1" spans="1:3" x14ac:dyDescent="0.25">
      <c r="A1" s="19"/>
      <c r="B1" s="19"/>
    </row>
    <row r="2" spans="1:3" ht="26.25" x14ac:dyDescent="0.4">
      <c r="A2" s="39" t="s">
        <v>216</v>
      </c>
      <c r="B2" s="19"/>
    </row>
    <row r="3" spans="1:3" ht="18.75" x14ac:dyDescent="0.3">
      <c r="A3" s="19"/>
      <c r="B3" s="21"/>
    </row>
    <row r="4" spans="1:3" ht="26.25" x14ac:dyDescent="0.4">
      <c r="A4" s="20" t="s">
        <v>213</v>
      </c>
      <c r="B4" s="22"/>
      <c r="C4" s="17"/>
    </row>
    <row r="5" spans="1:3" ht="16.5" customHeight="1" x14ac:dyDescent="0.3">
      <c r="A5" s="21" t="s">
        <v>214</v>
      </c>
      <c r="B5" s="21"/>
    </row>
    <row r="6" spans="1:3" ht="18.75" x14ac:dyDescent="0.3">
      <c r="A6" s="21" t="s">
        <v>222</v>
      </c>
      <c r="B6" s="21"/>
    </row>
    <row r="7" spans="1:3" ht="18.75" x14ac:dyDescent="0.3">
      <c r="A7" s="21"/>
      <c r="B7" s="21"/>
    </row>
    <row r="8" spans="1:3" ht="18.75" x14ac:dyDescent="0.25">
      <c r="A8" s="23" t="s">
        <v>0</v>
      </c>
      <c r="B8" s="24" t="s">
        <v>6</v>
      </c>
    </row>
    <row r="9" spans="1:3" ht="18.75" x14ac:dyDescent="0.25">
      <c r="A9" s="25" t="s">
        <v>215</v>
      </c>
      <c r="B9" s="26" t="s">
        <v>220</v>
      </c>
    </row>
    <row r="10" spans="1:3" ht="18.75" x14ac:dyDescent="0.25">
      <c r="A10" s="25" t="s">
        <v>211</v>
      </c>
      <c r="B10" s="26"/>
    </row>
    <row r="11" spans="1:3" ht="18.75" x14ac:dyDescent="0.25">
      <c r="A11" s="25" t="s">
        <v>1</v>
      </c>
      <c r="B11" s="26">
        <v>97797137</v>
      </c>
    </row>
    <row r="12" spans="1:3" ht="18.75" x14ac:dyDescent="0.25">
      <c r="A12" s="25" t="s">
        <v>350</v>
      </c>
      <c r="B12" s="27">
        <v>142</v>
      </c>
    </row>
    <row r="13" spans="1:3" ht="30" customHeight="1" x14ac:dyDescent="0.3">
      <c r="A13" s="21"/>
      <c r="B13" s="21"/>
    </row>
    <row r="14" spans="1:3" ht="18.75" x14ac:dyDescent="0.3">
      <c r="A14" s="28" t="s">
        <v>209</v>
      </c>
      <c r="B14" s="29">
        <v>240</v>
      </c>
    </row>
    <row r="15" spans="1:3" ht="18.75" x14ac:dyDescent="0.3">
      <c r="A15" s="30" t="s">
        <v>212</v>
      </c>
      <c r="B15" s="31">
        <v>45505</v>
      </c>
    </row>
    <row r="16" spans="1:3" ht="30" customHeight="1" x14ac:dyDescent="0.3">
      <c r="A16" s="21"/>
      <c r="B16" s="21"/>
    </row>
    <row r="17" spans="1:2" ht="18.75" x14ac:dyDescent="0.3">
      <c r="A17" s="32" t="s">
        <v>227</v>
      </c>
      <c r="B17" s="21"/>
    </row>
    <row r="18" spans="1:2" ht="17.25" customHeight="1" thickBot="1" x14ac:dyDescent="0.35">
      <c r="A18" s="33" t="s">
        <v>219</v>
      </c>
      <c r="B18" s="33" t="s">
        <v>224</v>
      </c>
    </row>
    <row r="19" spans="1:2" ht="20.25" customHeight="1" thickTop="1" x14ac:dyDescent="0.3">
      <c r="A19" s="34" t="s">
        <v>217</v>
      </c>
      <c r="B19" s="35"/>
    </row>
    <row r="20" spans="1:2" s="18" customFormat="1" ht="16.5" customHeight="1" x14ac:dyDescent="0.25">
      <c r="A20" s="23" t="s">
        <v>228</v>
      </c>
      <c r="B20" s="36">
        <v>0</v>
      </c>
    </row>
    <row r="21" spans="1:2" s="18" customFormat="1" ht="16.5" customHeight="1" x14ac:dyDescent="0.25">
      <c r="A21" s="25" t="s">
        <v>2</v>
      </c>
      <c r="B21" s="27">
        <v>12</v>
      </c>
    </row>
    <row r="22" spans="1:2" s="18" customFormat="1" ht="16.5" customHeight="1" x14ac:dyDescent="0.25">
      <c r="A22" s="25" t="s">
        <v>351</v>
      </c>
      <c r="B22" s="27">
        <v>0</v>
      </c>
    </row>
    <row r="23" spans="1:2" s="18" customFormat="1" ht="16.5" customHeight="1" x14ac:dyDescent="0.25">
      <c r="A23" s="25" t="s">
        <v>226</v>
      </c>
      <c r="B23" s="27">
        <v>50</v>
      </c>
    </row>
    <row r="24" spans="1:2" s="18" customFormat="1" ht="16.5" customHeight="1" thickBot="1" x14ac:dyDescent="0.3">
      <c r="A24" s="37" t="s">
        <v>218</v>
      </c>
      <c r="B24" s="38">
        <v>0</v>
      </c>
    </row>
    <row r="25" spans="1:2" ht="30" customHeight="1" x14ac:dyDescent="0.3">
      <c r="A25" s="21"/>
      <c r="B25" s="21"/>
    </row>
    <row r="26" spans="1:2" ht="19.5" thickBot="1" x14ac:dyDescent="0.3">
      <c r="A26" s="37" t="s">
        <v>221</v>
      </c>
      <c r="B26" s="38">
        <v>178</v>
      </c>
    </row>
    <row r="27" spans="1:2" ht="30" customHeight="1" x14ac:dyDescent="0.3">
      <c r="A27" s="21"/>
      <c r="B27" s="21"/>
    </row>
    <row r="28" spans="1:2" ht="19.5" thickBot="1" x14ac:dyDescent="0.3">
      <c r="A28" s="37" t="s">
        <v>225</v>
      </c>
      <c r="B28" s="38">
        <f>B12-B23</f>
        <v>92</v>
      </c>
    </row>
    <row r="29" spans="1:2" ht="18.75" x14ac:dyDescent="0.25">
      <c r="A29" s="40"/>
      <c r="B29" s="41"/>
    </row>
    <row r="30" spans="1:2" ht="18.75" x14ac:dyDescent="0.3">
      <c r="A30" s="21"/>
      <c r="B30" s="21"/>
    </row>
    <row r="31" spans="1:2" ht="18.75" x14ac:dyDescent="0.3">
      <c r="A31" s="21" t="s">
        <v>223</v>
      </c>
      <c r="B31" s="2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Payable</vt:lpstr>
      <vt:lpstr>Cr.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Al Aghbari</dc:creator>
  <cp:lastModifiedBy>Saif Al Aghbari</cp:lastModifiedBy>
  <cp:lastPrinted>2024-09-23T08:46:39Z</cp:lastPrinted>
  <dcterms:created xsi:type="dcterms:W3CDTF">2024-09-23T07:23:55Z</dcterms:created>
  <dcterms:modified xsi:type="dcterms:W3CDTF">2024-10-16T12:20:13Z</dcterms:modified>
</cp:coreProperties>
</file>